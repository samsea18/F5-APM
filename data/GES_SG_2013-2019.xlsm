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\Desktop\MTech EBAC Sem 1\Practice Module\F5-APM\data\"/>
    </mc:Choice>
  </mc:AlternateContent>
  <xr:revisionPtr revIDLastSave="0" documentId="13_ncr:1_{6097130D-1689-4FA3-A8E1-A5E3FF604C86}" xr6:coauthVersionLast="46" xr6:coauthVersionMax="46" xr10:uidLastSave="{00000000-0000-0000-0000-000000000000}"/>
  <bookViews>
    <workbookView xWindow="-96" yWindow="-96" windowWidth="19392" windowHeight="10392" tabRatio="730" firstSheet="2" activeTab="5" xr2:uid="{00000000-000D-0000-FFFF-FFFF00000000}"/>
  </bookViews>
  <sheets>
    <sheet name="raw" sheetId="1" r:id="rId1"/>
    <sheet name="course-cluster" sheetId="2" r:id="rId2"/>
    <sheet name="processed" sheetId="3" r:id="rId3"/>
    <sheet name="response-rate" sheetId="6" r:id="rId4"/>
    <sheet name="response-rate-stats" sheetId="10" r:id="rId5"/>
    <sheet name="overall-grad-employment" sheetId="8" r:id="rId6"/>
    <sheet name="overall-grad-employment rate" sheetId="4" r:id="rId7"/>
    <sheet name="grad-employment rate by cluster" sheetId="5" r:id="rId8"/>
  </sheets>
  <functionGroups builtInGroupCount="19"/>
  <definedNames>
    <definedName name="_xlnm._FilterDatabase" localSheetId="1" hidden="1">'course-cluster'!$A$1:$C$137</definedName>
    <definedName name="_xlnm._FilterDatabase" localSheetId="5" hidden="1">'overall-grad-employment'!$A$1:$D$1</definedName>
    <definedName name="_xlnm._FilterDatabase" localSheetId="2" hidden="1">processed!$A$1:$I$750</definedName>
    <definedName name="_xlnm._FilterDatabase" localSheetId="0" hidden="1">raw!$A$1:$L$704</definedName>
    <definedName name="_xlnm._FilterDatabase" localSheetId="3" hidden="1">'response-rate'!$A$1:$E$31</definedName>
  </definedNames>
  <calcPr calcId="191029"/>
  <pivotCaches>
    <pivotCache cacheId="0" r:id="rId9"/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8" l="1"/>
  <c r="D4" i="8"/>
  <c r="D5" i="8"/>
  <c r="D6" i="8"/>
  <c r="D7" i="8"/>
  <c r="D8" i="8"/>
  <c r="D2" i="8"/>
  <c r="C2" i="8" a="1"/>
  <c r="C2" i="8" s="1"/>
  <c r="B2" i="8" a="1"/>
  <c r="B2" i="8" s="1"/>
  <c r="E32" i="6"/>
  <c r="E33" i="6"/>
  <c r="E34" i="6"/>
  <c r="E35" i="6"/>
  <c r="E36" i="6"/>
  <c r="E37" i="6"/>
  <c r="E38" i="6"/>
  <c r="E39" i="6"/>
  <c r="E40" i="6"/>
  <c r="E41" i="6"/>
  <c r="E26" i="6"/>
  <c r="E27" i="6"/>
  <c r="E28" i="6"/>
  <c r="E29" i="6"/>
  <c r="E30" i="6"/>
  <c r="E31" i="6"/>
  <c r="E25" i="6"/>
  <c r="E24" i="6"/>
  <c r="E23" i="6"/>
  <c r="E22" i="6"/>
  <c r="E21" i="6"/>
  <c r="E20" i="6"/>
  <c r="E18" i="6"/>
  <c r="E19" i="6"/>
  <c r="E17" i="6"/>
  <c r="E16" i="6"/>
  <c r="E15" i="6"/>
  <c r="E14" i="6"/>
  <c r="E13" i="6"/>
  <c r="E12" i="6"/>
  <c r="E11" i="6"/>
  <c r="E10" i="6"/>
  <c r="E9" i="6"/>
  <c r="E7" i="6"/>
  <c r="E8" i="6"/>
  <c r="E2" i="6"/>
  <c r="E3" i="6"/>
  <c r="E4" i="6"/>
  <c r="E5" i="6"/>
  <c r="E6" i="6"/>
  <c r="G13" i="3" a="1"/>
  <c r="G150" i="3" a="1"/>
  <c r="G278" i="3" a="1"/>
  <c r="G102" i="3" a="1"/>
  <c r="G51" i="3" a="1"/>
  <c r="G399" i="3" a="1"/>
  <c r="G387" i="3" a="1"/>
  <c r="G574" i="3" a="1"/>
  <c r="G47" i="3" a="1"/>
  <c r="G206" i="3" a="1"/>
  <c r="G222" i="3" a="1"/>
  <c r="G210" i="3" a="1"/>
  <c r="G95" i="3" a="1"/>
  <c r="G87" i="3" a="1"/>
  <c r="G329" i="3" a="1"/>
  <c r="G578" i="3" a="1"/>
  <c r="G34" i="3" a="1"/>
  <c r="G286" i="3" a="1"/>
  <c r="G361" i="3" a="1"/>
  <c r="G259" i="3" a="1"/>
  <c r="G114" i="3" a="1"/>
  <c r="G487" i="3" a="1"/>
  <c r="G340" i="3" a="1"/>
  <c r="G313" i="3" a="1"/>
  <c r="G106" i="3" a="1"/>
  <c r="G459" i="3" a="1"/>
  <c r="G589" i="3" a="1"/>
  <c r="G598" i="3" a="1"/>
  <c r="G74" i="3" a="1"/>
  <c r="G204" i="3" a="1"/>
  <c r="G407" i="3" a="1"/>
  <c r="G427" i="3" a="1"/>
  <c r="G211" i="3" a="1"/>
  <c r="G11" i="3" a="1"/>
  <c r="G371" i="3" a="1"/>
  <c r="G485" i="3" a="1"/>
  <c r="G117" i="3" a="1"/>
  <c r="G69" i="3" a="1"/>
  <c r="G462" i="3" a="1"/>
  <c r="G457" i="3" a="1"/>
  <c r="G266" i="3" a="1"/>
  <c r="G328" i="3" a="1"/>
  <c r="G444" i="3" a="1"/>
  <c r="G501" i="3" a="1"/>
  <c r="G118" i="3" a="1"/>
  <c r="G144" i="3" a="1"/>
  <c r="G25" i="3" a="1"/>
  <c r="G218" i="3" a="1"/>
  <c r="G358" i="3" a="1"/>
  <c r="G439" i="3" a="1"/>
  <c r="G472" i="3" a="1"/>
  <c r="G36" i="3" a="1"/>
  <c r="G453" i="3" a="1"/>
  <c r="G542" i="3" a="1"/>
  <c r="G670" i="3" a="1"/>
  <c r="G685" i="3" a="1"/>
  <c r="G638" i="3" a="1"/>
  <c r="G128" i="3" a="1"/>
  <c r="G197" i="3" a="1"/>
  <c r="G432" i="3" a="1"/>
  <c r="G258" i="3" a="1"/>
  <c r="G353" i="3" a="1"/>
  <c r="G165" i="3" a="1"/>
  <c r="G538" i="3" a="1"/>
  <c r="G230" i="3" a="1"/>
  <c r="G417" i="3" a="1"/>
  <c r="G440" i="3" a="1"/>
  <c r="G548" i="3" a="1"/>
  <c r="G228" i="3" a="1"/>
  <c r="G420" i="3" a="1"/>
  <c r="G468" i="3" a="1"/>
  <c r="G284" i="3" a="1"/>
  <c r="G506" i="3" a="1"/>
  <c r="G730" i="3" a="1"/>
  <c r="G592" i="3" a="1"/>
  <c r="G3" i="3" a="1"/>
  <c r="G64" i="3" a="1"/>
  <c r="G652" i="3" a="1"/>
  <c r="G649" i="3" a="1"/>
  <c r="G500" i="3" a="1"/>
  <c r="G612" i="3" a="1"/>
  <c r="G132" i="3" a="1"/>
  <c r="G355" i="3" a="1"/>
  <c r="G551" i="3" a="1"/>
  <c r="G594" i="3" a="1"/>
  <c r="G680" i="3" a="1"/>
  <c r="G187" i="3" a="1"/>
  <c r="G179" i="3" a="1"/>
  <c r="G533" i="3" a="1"/>
  <c r="G580" i="3" a="1"/>
  <c r="G747" i="3" a="1"/>
  <c r="G21" i="3" a="1"/>
  <c r="G383" i="3" a="1"/>
  <c r="G121" i="3" a="1"/>
  <c r="G306" i="3" a="1"/>
  <c r="G70" i="3" a="1"/>
  <c r="G421" i="3" a="1"/>
  <c r="G149" i="3" a="1"/>
  <c r="G296" i="3" a="1"/>
  <c r="G151" i="3" a="1"/>
  <c r="G455" i="3" a="1"/>
  <c r="G245" i="3" a="1"/>
  <c r="G379" i="3" a="1"/>
  <c r="G411" i="3" a="1"/>
  <c r="G639" i="3" a="1"/>
  <c r="G505" i="3" a="1"/>
  <c r="G27" i="3" a="1"/>
  <c r="G395" i="3" a="1"/>
  <c r="G674" i="3" a="1"/>
  <c r="G660" i="3" a="1"/>
  <c r="G523" i="3" a="1"/>
  <c r="G693" i="3" a="1"/>
  <c r="G644" i="3" a="1"/>
  <c r="G253" i="3" a="1"/>
  <c r="G516" i="3" a="1"/>
  <c r="G645" i="3" a="1"/>
  <c r="G691" i="3" a="1"/>
  <c r="G668" i="3" a="1"/>
  <c r="G94" i="3" a="1"/>
  <c r="G723" i="3" a="1"/>
  <c r="G737" i="3" a="1"/>
  <c r="G682" i="3" a="1"/>
  <c r="G557" i="3" a="1"/>
  <c r="G77" i="3" a="1"/>
  <c r="G52" i="3" a="1"/>
  <c r="G96" i="3" a="1"/>
  <c r="G396" i="3" a="1"/>
  <c r="G68" i="3" a="1"/>
  <c r="G273" i="3" a="1"/>
  <c r="G412" i="3" a="1"/>
  <c r="G375" i="3" a="1"/>
  <c r="G133" i="3" a="1"/>
  <c r="G404" i="3" a="1"/>
  <c r="G177" i="3" a="1"/>
  <c r="G391" i="3" a="1"/>
  <c r="G97" i="3" a="1"/>
  <c r="G205" i="3" a="1"/>
  <c r="G461" i="3" a="1"/>
  <c r="G431" i="3" a="1"/>
  <c r="G233" i="3" a="1"/>
  <c r="G315" i="3" a="1"/>
  <c r="G163" i="3" a="1"/>
  <c r="G490" i="3" a="1"/>
  <c r="G108" i="3" a="1"/>
  <c r="G66" i="3" a="1"/>
  <c r="G5" i="3" a="1"/>
  <c r="G81" i="3" a="1"/>
  <c r="G17" i="3" a="1"/>
  <c r="G331" i="3" a="1"/>
  <c r="G465" i="3" a="1"/>
  <c r="G509" i="3" a="1"/>
  <c r="G352" i="3" a="1"/>
  <c r="G527" i="3" a="1"/>
  <c r="G654" i="3" a="1"/>
  <c r="G667" i="3" a="1"/>
  <c r="G170" i="3" a="1"/>
  <c r="G158" i="3" a="1"/>
  <c r="G55" i="3" a="1"/>
  <c r="G172" i="3" a="1"/>
  <c r="G314" i="3" a="1"/>
  <c r="G295" i="3" a="1"/>
  <c r="G491" i="3" a="1"/>
  <c r="G530" i="3" a="1"/>
  <c r="G279" i="3" a="1"/>
  <c r="G229" i="3" a="1"/>
  <c r="G104" i="3" a="1"/>
  <c r="G326" i="3" a="1"/>
  <c r="G433" i="3" a="1"/>
  <c r="G376" i="3" a="1"/>
  <c r="G332" i="3" a="1"/>
  <c r="G539" i="3" a="1"/>
  <c r="G220" i="3" a="1"/>
  <c r="G226" i="3" a="1"/>
  <c r="G123" i="3" a="1"/>
  <c r="G414" i="3" a="1"/>
  <c r="G298" i="3" a="1"/>
  <c r="G466" i="3" a="1"/>
  <c r="G398" i="3" a="1"/>
  <c r="G79" i="3" a="1"/>
  <c r="G367" i="3" a="1"/>
  <c r="G483" i="3" a="1"/>
  <c r="G744" i="3" a="1"/>
  <c r="G745" i="3" a="1"/>
  <c r="G702" i="3" a="1"/>
  <c r="G86" i="3" a="1"/>
  <c r="G294" i="3" a="1"/>
  <c r="G57" i="3" a="1"/>
  <c r="G354" i="3" a="1"/>
  <c r="G103" i="3" a="1"/>
  <c r="G335" i="3" a="1"/>
  <c r="G42" i="3" a="1"/>
  <c r="G377" i="3" a="1"/>
  <c r="G125" i="3" a="1"/>
  <c r="G246" i="3" a="1"/>
  <c r="G139" i="3" a="1"/>
  <c r="G45" i="3" a="1"/>
  <c r="G219" i="3" a="1"/>
  <c r="G425" i="3" a="1"/>
  <c r="G344" i="3" a="1"/>
  <c r="G476" i="3" a="1"/>
  <c r="G524" i="3" a="1"/>
  <c r="G188" i="3" a="1"/>
  <c r="G156" i="3" a="1"/>
  <c r="G100" i="3" a="1"/>
  <c r="G174" i="3" a="1"/>
  <c r="G56" i="3" a="1"/>
  <c r="G291" i="3" a="1"/>
  <c r="G129" i="3" a="1"/>
  <c r="G534" i="3" a="1"/>
  <c r="G225" i="3" a="1"/>
  <c r="G208" i="3" a="1"/>
  <c r="G112" i="3" a="1"/>
  <c r="G357" i="3" a="1"/>
  <c r="G330" i="3" a="1"/>
  <c r="G392" i="3" a="1"/>
  <c r="G337" i="3" a="1"/>
  <c r="G263" i="3" a="1"/>
  <c r="G169" i="3" a="1"/>
  <c r="G293" i="3" a="1"/>
  <c r="G724" i="3" a="1"/>
  <c r="G50" i="3" a="1"/>
  <c r="G65" i="3" a="1"/>
  <c r="G269" i="3" a="1"/>
  <c r="G190" i="3" a="1"/>
  <c r="G389" i="3" a="1"/>
  <c r="G309" i="3" a="1"/>
  <c r="G471" i="3" a="1"/>
  <c r="G342" i="3" a="1"/>
  <c r="G30" i="3" a="1"/>
  <c r="G127" i="3" a="1"/>
  <c r="G181" i="3" a="1"/>
  <c r="G257" i="3" a="1"/>
  <c r="G448" i="3" a="1"/>
  <c r="G372" i="3" a="1"/>
  <c r="G227" i="3" a="1"/>
  <c r="G555" i="3" a="1"/>
  <c r="G58" i="3" a="1"/>
  <c r="G134" i="3" a="1"/>
  <c r="G146" i="3" a="1"/>
  <c r="G85" i="3" a="1"/>
  <c r="G26" i="3" a="1"/>
  <c r="G419" i="3" a="1"/>
  <c r="G16" i="3" a="1"/>
  <c r="G565" i="3" a="1"/>
  <c r="G255" i="3" a="1"/>
  <c r="G82" i="3" a="1"/>
  <c r="G480" i="3" a="1"/>
  <c r="G521" i="3" a="1"/>
  <c r="G688" i="3" a="1"/>
  <c r="G531" i="3" a="1"/>
  <c r="G2" i="3" a="1"/>
  <c r="G346" i="3" a="1"/>
  <c r="G200" i="3" a="1"/>
  <c r="G109" i="3" a="1"/>
  <c r="G320" i="3" a="1"/>
  <c r="G161" i="3" a="1"/>
  <c r="G249" i="3" a="1"/>
  <c r="G119" i="3" a="1"/>
  <c r="G336" i="3" a="1"/>
  <c r="G373" i="3" a="1"/>
  <c r="G237" i="3" a="1"/>
  <c r="G157" i="3" a="1"/>
  <c r="G347" i="3" a="1"/>
  <c r="G167" i="3" a="1"/>
  <c r="G477" i="3" a="1"/>
  <c r="G604" i="3" a="1"/>
  <c r="G611" i="3" a="1"/>
  <c r="G185" i="3" a="1"/>
  <c r="G176" i="3" a="1"/>
  <c r="G621" i="3" a="1"/>
  <c r="G192" i="3" a="1"/>
  <c r="G275" i="3" a="1"/>
  <c r="G131" i="3" a="1"/>
  <c r="G428" i="3" a="1"/>
  <c r="G301" i="3" a="1"/>
  <c r="G447" i="3" a="1"/>
  <c r="G363" i="3" a="1"/>
  <c r="G38" i="3" a="1"/>
  <c r="G62" i="3" a="1"/>
  <c r="G261" i="3" a="1"/>
  <c r="G214" i="3" a="1"/>
  <c r="G463" i="3" a="1"/>
  <c r="G290" i="3" a="1"/>
  <c r="G474" i="3" a="1"/>
  <c r="G498" i="3" a="1"/>
  <c r="G49" i="3" a="1"/>
  <c r="G155" i="3" a="1"/>
  <c r="G285" i="3" a="1"/>
  <c r="G265" i="3" a="1"/>
  <c r="G6" i="3" a="1"/>
  <c r="G168" i="3" a="1"/>
  <c r="G323" i="3" a="1"/>
  <c r="G560" i="3" a="1"/>
  <c r="G277" i="3" a="1"/>
  <c r="G369" i="3" a="1"/>
  <c r="G287" i="3" a="1"/>
  <c r="G743" i="3" a="1"/>
  <c r="G41" i="3" a="1"/>
  <c r="G251" i="3" a="1"/>
  <c r="G191" i="3" a="1"/>
  <c r="G203" i="3" a="1"/>
  <c r="G89" i="3" a="1"/>
  <c r="G458" i="3" a="1"/>
  <c r="G322" i="3" a="1"/>
  <c r="G579" i="3" a="1"/>
  <c r="G24" i="3" a="1"/>
  <c r="G242" i="3" a="1"/>
  <c r="G324" i="3" a="1"/>
  <c r="G238" i="3" a="1"/>
  <c r="G113" i="3" a="1"/>
  <c r="G484" i="3" a="1"/>
  <c r="G303" i="3" a="1"/>
  <c r="G374" i="3" a="1"/>
  <c r="G32" i="3" a="1"/>
  <c r="G221" i="3" a="1"/>
  <c r="G403" i="3" a="1"/>
  <c r="G384" i="3" a="1"/>
  <c r="G130" i="3" a="1"/>
  <c r="G280" i="3" a="1"/>
  <c r="G348" i="3" a="1"/>
  <c r="G350" i="3" a="1"/>
  <c r="G148" i="3" a="1"/>
  <c r="G507" i="3" a="1"/>
  <c r="G605" i="3" a="1"/>
  <c r="G614" i="3" a="1"/>
  <c r="G563" i="3" a="1"/>
  <c r="G708" i="3" a="1"/>
  <c r="G153" i="3" a="1"/>
  <c r="G479" i="3" a="1"/>
  <c r="G183" i="3" a="1"/>
  <c r="G250" i="3" a="1"/>
  <c r="G83" i="3" a="1"/>
  <c r="G587" i="3" a="1"/>
  <c r="G686" i="3" a="1"/>
  <c r="G544" i="3" a="1"/>
  <c r="G748" i="3" a="1"/>
  <c r="G647" i="3" a="1"/>
  <c r="G615" i="3" a="1"/>
  <c r="G136" i="3" a="1"/>
  <c r="G508" i="3" a="1"/>
  <c r="G659" i="3" a="1"/>
  <c r="G28" i="3" a="1"/>
  <c r="G470" i="3" a="1"/>
  <c r="G665" i="3" a="1"/>
  <c r="G632" i="3" a="1"/>
  <c r="G588" i="3" a="1"/>
  <c r="G110" i="3" a="1"/>
  <c r="G145" i="3" a="1"/>
  <c r="G546" i="3" a="1"/>
  <c r="G141" i="3" a="1"/>
  <c r="G418" i="3" a="1"/>
  <c r="G44" i="3" a="1"/>
  <c r="G235" i="3" a="1"/>
  <c r="G90" i="3" a="1"/>
  <c r="G19" i="3" a="1"/>
  <c r="G684" i="3" a="1"/>
  <c r="G715" i="3" a="1"/>
  <c r="G111" i="3" a="1"/>
  <c r="G364" i="3" a="1"/>
  <c r="G196" i="3" a="1"/>
  <c r="G564" i="3" a="1"/>
  <c r="G543" i="3" a="1"/>
  <c r="G341" i="3" a="1"/>
  <c r="G586" i="3" a="1"/>
  <c r="G571" i="3" a="1"/>
  <c r="G194" i="3" a="1"/>
  <c r="G334" i="3" a="1"/>
  <c r="G741" i="3" a="1"/>
  <c r="G653" i="3" a="1"/>
  <c r="G48" i="3" a="1"/>
  <c r="G308" i="3" a="1"/>
  <c r="G67" i="3" a="1"/>
  <c r="G29" i="3" a="1"/>
  <c r="G61" i="3" a="1"/>
  <c r="G256" i="3" a="1"/>
  <c r="G597" i="3" a="1"/>
  <c r="G305" i="3" a="1"/>
  <c r="G541" i="3" a="1"/>
  <c r="G609" i="3" a="1"/>
  <c r="G14" i="3" a="1"/>
  <c r="G599" i="3" a="1"/>
  <c r="G738" i="3" a="1"/>
  <c r="G591" i="3" a="1"/>
  <c r="G497" i="3" a="1"/>
  <c r="G729" i="3" a="1"/>
  <c r="G316" i="3" a="1"/>
  <c r="G300" i="3" a="1"/>
  <c r="G312" i="3" a="1"/>
  <c r="G537" i="3" a="1"/>
  <c r="G689" i="3" a="1"/>
  <c r="G402" i="3" a="1"/>
  <c r="G39" i="3" a="1"/>
  <c r="G556" i="3" a="1"/>
  <c r="G99" i="3" a="1"/>
  <c r="G247" i="3" a="1"/>
  <c r="G234" i="3" a="1"/>
  <c r="G716" i="3" a="1"/>
  <c r="G561" i="3" a="1"/>
  <c r="G231" i="3" a="1"/>
  <c r="G648" i="3" a="1"/>
  <c r="G513" i="3" a="1"/>
  <c r="G584" i="3" a="1"/>
  <c r="G343" i="3" a="1"/>
  <c r="G430" i="3" a="1"/>
  <c r="G366" i="3" a="1"/>
  <c r="G619" i="3" a="1"/>
  <c r="G59" i="3" a="1"/>
  <c r="G625" i="3" a="1"/>
  <c r="G122" i="3" a="1"/>
  <c r="G658" i="3" a="1"/>
  <c r="G734" i="3" a="1"/>
  <c r="G381" i="3" a="1"/>
  <c r="G629" i="3" a="1"/>
  <c r="G511" i="3" a="1"/>
  <c r="G236" i="3" a="1"/>
  <c r="G720" i="3" a="1"/>
  <c r="G675" i="3" a="1"/>
  <c r="G590" i="3" a="1"/>
  <c r="G270" i="3" a="1"/>
  <c r="G325" i="3" a="1"/>
  <c r="G416" i="3" a="1"/>
  <c r="G189" i="3" a="1"/>
  <c r="G405" i="3" a="1"/>
  <c r="G467" i="3" a="1"/>
  <c r="G75" i="3" a="1"/>
  <c r="G401" i="3" a="1"/>
  <c r="G475" i="3" a="1"/>
  <c r="G164" i="3" a="1"/>
  <c r="G651" i="3" a="1"/>
  <c r="G630" i="3" a="1"/>
  <c r="G559" i="3" a="1"/>
  <c r="G701" i="3" a="1"/>
  <c r="G679" i="3" a="1"/>
  <c r="G593" i="3" a="1"/>
  <c r="G217" i="3" a="1"/>
  <c r="G473" i="3" a="1"/>
  <c r="G713" i="3" a="1"/>
  <c r="G602" i="3" a="1"/>
  <c r="G216" i="3" a="1"/>
  <c r="G631" i="3" a="1"/>
  <c r="G698" i="3" a="1"/>
  <c r="G368" i="3" a="1"/>
  <c r="G193" i="3" a="1"/>
  <c r="G554" i="3" a="1"/>
  <c r="G9" i="3" a="1"/>
  <c r="G243" i="3" a="1"/>
  <c r="G452" i="3" a="1"/>
  <c r="G73" i="3" a="1"/>
  <c r="G657" i="3" a="1"/>
  <c r="G318" i="3" a="1"/>
  <c r="G666" i="3" a="1"/>
  <c r="G606" i="3" a="1"/>
  <c r="G339" i="3" a="1"/>
  <c r="G732" i="3" a="1"/>
  <c r="G240" i="3" a="1"/>
  <c r="G526" i="3" a="1"/>
  <c r="G525" i="3" a="1"/>
  <c r="G707" i="3" a="1"/>
  <c r="G489" i="3" a="1"/>
  <c r="G519" i="3" a="1"/>
  <c r="G486" i="3" a="1"/>
  <c r="G239" i="3" a="1"/>
  <c r="G577" i="3" a="1"/>
  <c r="G532" i="3" a="1"/>
  <c r="G186" i="3" a="1"/>
  <c r="G706" i="3" a="1"/>
  <c r="G299" i="3" a="1"/>
  <c r="G345" i="3" a="1"/>
  <c r="G365" i="3" a="1"/>
  <c r="G750" i="3" a="1"/>
  <c r="G126" i="3" a="1"/>
  <c r="G35" i="3" a="1"/>
  <c r="G60" i="3" a="1"/>
  <c r="G704" i="3" a="1"/>
  <c r="G78" i="3" a="1"/>
  <c r="G558" i="3" a="1"/>
  <c r="G232" i="3" a="1"/>
  <c r="G575" i="3" a="1"/>
  <c r="G202" i="3" a="1"/>
  <c r="G585" i="3" a="1"/>
  <c r="G583" i="3" a="1"/>
  <c r="G380" i="3" a="1"/>
  <c r="G624" i="3" a="1"/>
  <c r="G492" i="3" a="1"/>
  <c r="G731" i="3" a="1"/>
  <c r="G493" i="3" a="1"/>
  <c r="G307" i="3" a="1"/>
  <c r="G288" i="3" a="1"/>
  <c r="G552" i="3" a="1"/>
  <c r="G617" i="3" a="1"/>
  <c r="G429" i="3" a="1"/>
  <c r="G72" i="3" a="1"/>
  <c r="G31" i="3" a="1"/>
  <c r="G360" i="3" a="1"/>
  <c r="G84" i="3" a="1"/>
  <c r="G362" i="3" a="1"/>
  <c r="G596" i="3" a="1"/>
  <c r="G147" i="3" a="1"/>
  <c r="G223" i="3" a="1"/>
  <c r="G281" i="3" a="1"/>
  <c r="G140" i="3" a="1"/>
  <c r="G310" i="3" a="1"/>
  <c r="G696" i="3" a="1"/>
  <c r="G678" i="3" a="1"/>
  <c r="G663" i="3" a="1"/>
  <c r="G673" i="3" a="1"/>
  <c r="G351" i="3" a="1"/>
  <c r="G628" i="3" a="1"/>
  <c r="G655" i="3" a="1"/>
  <c r="G33" i="3" a="1"/>
  <c r="G608" i="3" a="1"/>
  <c r="G616" i="3" a="1"/>
  <c r="G274" i="3" a="1"/>
  <c r="G302" i="3" a="1"/>
  <c r="G441" i="3" a="1"/>
  <c r="G80" i="3" a="1"/>
  <c r="G415" i="3" a="1"/>
  <c r="G63" i="3" a="1"/>
  <c r="G735" i="3" a="1"/>
  <c r="G422" i="3" a="1"/>
  <c r="G610" i="3" a="1"/>
  <c r="G209" i="3" a="1"/>
  <c r="G195" i="3" a="1"/>
  <c r="G311" i="3" a="1"/>
  <c r="G408" i="3" a="1"/>
  <c r="G445" i="3" a="1"/>
  <c r="G641" i="3" a="1"/>
  <c r="G115" i="3" a="1"/>
  <c r="G669" i="3" a="1"/>
  <c r="G705" i="3" a="1"/>
  <c r="G528" i="3" a="1"/>
  <c r="G18" i="3" a="1"/>
  <c r="G370" i="3" a="1"/>
  <c r="G700" i="3" a="1"/>
  <c r="G549" i="3" a="1"/>
  <c r="G424" i="3" a="1"/>
  <c r="G725" i="3" a="1"/>
  <c r="G636" i="3" a="1"/>
  <c r="G173" i="3" a="1"/>
  <c r="G212" i="3" a="1"/>
  <c r="G385" i="3" a="1"/>
  <c r="G178" i="3" a="1"/>
  <c r="G276" i="3" a="1"/>
  <c r="G410" i="3" a="1"/>
  <c r="G482" i="3" a="1"/>
  <c r="G182" i="3" a="1"/>
  <c r="G450" i="3" a="1"/>
  <c r="G503" i="3" a="1"/>
  <c r="G499" i="3" a="1"/>
  <c r="G535" i="3" a="1"/>
  <c r="G264" i="3" a="1"/>
  <c r="G338" i="3" a="1"/>
  <c r="G742" i="3" a="1"/>
  <c r="G692" i="3" a="1"/>
  <c r="G687" i="3" a="1"/>
  <c r="G244" i="3" a="1"/>
  <c r="G297" i="3" a="1"/>
  <c r="G502" i="3" a="1"/>
  <c r="G710" i="3" a="1"/>
  <c r="G349" i="3" a="1"/>
  <c r="G740" i="3" a="1"/>
  <c r="G282" i="3" a="1"/>
  <c r="G581" i="3" a="1"/>
  <c r="G248" i="3" a="1"/>
  <c r="G8" i="3" a="1"/>
  <c r="G454" i="3" a="1"/>
  <c r="G268" i="3" a="1"/>
  <c r="G317" i="3" a="1"/>
  <c r="G536" i="3" a="1"/>
  <c r="G661" i="3" a="1"/>
  <c r="G545" i="3" a="1"/>
  <c r="G736" i="3" a="1"/>
  <c r="G518" i="3" a="1"/>
  <c r="G442" i="3" a="1"/>
  <c r="G626" i="3" a="1"/>
  <c r="G400" i="3" a="1"/>
  <c r="G397" i="3" a="1"/>
  <c r="G438" i="3" a="1"/>
  <c r="G107" i="3" a="1"/>
  <c r="G120" i="3" a="1"/>
  <c r="G92" i="3" a="1"/>
  <c r="G105" i="3" a="1"/>
  <c r="G382" i="3" a="1"/>
  <c r="G739" i="3" a="1"/>
  <c r="G662" i="3" a="1"/>
  <c r="G166" i="3" a="1"/>
  <c r="G607" i="3" a="1"/>
  <c r="G517" i="3" a="1"/>
  <c r="G522" i="3" a="1"/>
  <c r="G142" i="3" a="1"/>
  <c r="G378" i="3" a="1"/>
  <c r="G37" i="3" a="1"/>
  <c r="G512" i="3" a="1"/>
  <c r="G520" i="3" a="1"/>
  <c r="G15" i="3" a="1"/>
  <c r="G7" i="3" a="1"/>
  <c r="G10" i="3" a="1"/>
  <c r="G54" i="3" a="1"/>
  <c r="G22" i="3" a="1"/>
  <c r="G101" i="3" a="1"/>
  <c r="G456" i="3" a="1"/>
  <c r="G634" i="3" a="1"/>
  <c r="G390" i="3" a="1"/>
  <c r="G595" i="3" a="1"/>
  <c r="G643" i="3" a="1"/>
  <c r="G116" i="3" a="1"/>
  <c r="G618" i="3" a="1"/>
  <c r="G569" i="3" a="1"/>
  <c r="G650" i="3" a="1"/>
  <c r="G514" i="3" a="1"/>
  <c r="G20" i="3" a="1"/>
  <c r="G159" i="3" a="1"/>
  <c r="G224" i="3" a="1"/>
  <c r="G409" i="3" a="1"/>
  <c r="G488" i="3" a="1"/>
  <c r="G719" i="3" a="1"/>
  <c r="G540" i="3" a="1"/>
  <c r="G656" i="3" a="1"/>
  <c r="G12" i="3" a="1"/>
  <c r="G53" i="3" a="1"/>
  <c r="G98" i="3" a="1"/>
  <c r="G709" i="3" a="1"/>
  <c r="G728" i="3" a="1"/>
  <c r="G703" i="3" a="1"/>
  <c r="G721" i="3" a="1"/>
  <c r="G613" i="3" a="1"/>
  <c r="G213" i="3" a="1"/>
  <c r="G71" i="3" a="1"/>
  <c r="G175" i="3" a="1"/>
  <c r="G198" i="3" a="1"/>
  <c r="G727" i="3" a="1"/>
  <c r="G437" i="3" a="1"/>
  <c r="G664" i="3" a="1"/>
  <c r="G386" i="3" a="1"/>
  <c r="G714" i="3" a="1"/>
  <c r="G289" i="3" a="1"/>
  <c r="G681" i="3" a="1"/>
  <c r="G672" i="3" a="1"/>
  <c r="G435" i="3" a="1"/>
  <c r="G171" i="3" a="1"/>
  <c r="G304" i="3" a="1"/>
  <c r="G267" i="3" a="1"/>
  <c r="G495" i="3" a="1"/>
  <c r="G627" i="3" a="1"/>
  <c r="G292" i="3" a="1"/>
  <c r="G603" i="3" a="1"/>
  <c r="G699" i="3" a="1"/>
  <c r="G319" i="3" a="1"/>
  <c r="G478" i="3" a="1"/>
  <c r="G135" i="3" a="1"/>
  <c r="G553" i="3" a="1"/>
  <c r="G640" i="3" a="1"/>
  <c r="G683" i="3" a="1"/>
  <c r="G199" i="3" a="1"/>
  <c r="G711" i="3" a="1"/>
  <c r="G138" i="3" a="1"/>
  <c r="G570" i="3" a="1"/>
  <c r="G137" i="3" a="1"/>
  <c r="G260" i="3" a="1"/>
  <c r="G180" i="3" a="1"/>
  <c r="G568" i="3" a="1"/>
  <c r="G576" i="3" a="1"/>
  <c r="G572" i="3" a="1"/>
  <c r="G642" i="3" a="1"/>
  <c r="G600" i="3" a="1"/>
  <c r="G254" i="3" a="1"/>
  <c r="G356" i="3" a="1"/>
  <c r="G426" i="3" a="1"/>
  <c r="G388" i="3" a="1"/>
  <c r="G460" i="3" a="1"/>
  <c r="G359" i="3" a="1"/>
  <c r="G622" i="3" a="1"/>
  <c r="G46" i="3" a="1"/>
  <c r="G201" i="3" a="1"/>
  <c r="G252" i="3" a="1"/>
  <c r="G677" i="3" a="1"/>
  <c r="G717" i="3" a="1"/>
  <c r="G504" i="3" a="1"/>
  <c r="G547" i="3" a="1"/>
  <c r="G333" i="3" a="1"/>
  <c r="G620" i="3" a="1"/>
  <c r="G184" i="3" a="1"/>
  <c r="G241" i="3" a="1"/>
  <c r="G446" i="3" a="1"/>
  <c r="G481" i="3" a="1"/>
  <c r="G550" i="3" a="1"/>
  <c r="G321" i="3" a="1"/>
  <c r="G573" i="3" a="1"/>
  <c r="G271" i="3" a="1"/>
  <c r="G676" i="3" a="1"/>
  <c r="G152" i="3" a="1"/>
  <c r="G215" i="3" a="1"/>
  <c r="G393" i="3" a="1"/>
  <c r="G637" i="3" a="1"/>
  <c r="G623" i="3" a="1"/>
  <c r="G93" i="3" a="1"/>
  <c r="G633" i="3" a="1"/>
  <c r="G162" i="3" a="1"/>
  <c r="G272" i="3" a="1"/>
  <c r="G695" i="3" a="1"/>
  <c r="G567" i="3" a="1"/>
  <c r="G88" i="3" a="1"/>
  <c r="G469" i="3" a="1"/>
  <c r="G646" i="3" a="1"/>
  <c r="G690" i="3" a="1"/>
  <c r="G510" i="3" a="1"/>
  <c r="G327" i="3" a="1"/>
  <c r="G494" i="3" a="1"/>
  <c r="G394" i="3" a="1"/>
  <c r="G443" i="3" a="1"/>
  <c r="G434" i="3" a="1"/>
  <c r="G671" i="3" a="1"/>
  <c r="G23" i="3" a="1"/>
  <c r="G423" i="3" a="1"/>
  <c r="G124" i="3" a="1"/>
  <c r="G712" i="3" a="1"/>
  <c r="G4" i="3" a="1"/>
  <c r="G697" i="3" a="1"/>
  <c r="G283" i="3" a="1"/>
  <c r="G515" i="3" a="1"/>
  <c r="G406" i="3" a="1"/>
  <c r="G601" i="3" a="1"/>
  <c r="G40" i="3" a="1"/>
  <c r="G694" i="3" a="1"/>
  <c r="G496" i="3" a="1"/>
  <c r="G562" i="3" a="1"/>
  <c r="G464" i="3" a="1"/>
  <c r="G76" i="3" a="1"/>
  <c r="G413" i="3" a="1"/>
  <c r="G160" i="3" a="1"/>
  <c r="G43" i="3" a="1"/>
  <c r="G566" i="3" a="1"/>
  <c r="G436" i="3" a="1"/>
  <c r="G726" i="3" a="1"/>
  <c r="G635" i="3" a="1"/>
  <c r="G143" i="3" a="1"/>
  <c r="G582" i="3" a="1"/>
  <c r="G449" i="3" a="1"/>
  <c r="G722" i="3" a="1"/>
  <c r="G207" i="3" a="1"/>
  <c r="G91" i="3" a="1"/>
  <c r="G749" i="3" a="1"/>
  <c r="G154" i="3" a="1"/>
  <c r="G529" i="3" a="1"/>
  <c r="G746" i="3" a="1"/>
  <c r="G451" i="3" a="1"/>
  <c r="G733" i="3" a="1"/>
  <c r="G262" i="3" a="1"/>
  <c r="G718" i="3" a="1"/>
  <c r="G718" i="3" l="1"/>
  <c r="H718" i="3" s="1"/>
  <c r="G262" i="3"/>
  <c r="H262" i="3" s="1"/>
  <c r="G733" i="3"/>
  <c r="H733" i="3" s="1"/>
  <c r="G451" i="3"/>
  <c r="H451" i="3" s="1"/>
  <c r="G746" i="3"/>
  <c r="H746" i="3" s="1"/>
  <c r="G529" i="3"/>
  <c r="H529" i="3" s="1"/>
  <c r="G154" i="3"/>
  <c r="H154" i="3" s="1"/>
  <c r="G749" i="3"/>
  <c r="H749" i="3" s="1"/>
  <c r="G91" i="3"/>
  <c r="H91" i="3" s="1"/>
  <c r="G207" i="3"/>
  <c r="H207" i="3" s="1"/>
  <c r="G722" i="3"/>
  <c r="H722" i="3" s="1"/>
  <c r="G449" i="3"/>
  <c r="H449" i="3" s="1"/>
  <c r="G582" i="3"/>
  <c r="H582" i="3" s="1"/>
  <c r="G143" i="3"/>
  <c r="H143" i="3" s="1"/>
  <c r="G635" i="3"/>
  <c r="H635" i="3" s="1"/>
  <c r="G726" i="3"/>
  <c r="H726" i="3" s="1"/>
  <c r="G436" i="3"/>
  <c r="H436" i="3" s="1"/>
  <c r="G566" i="3"/>
  <c r="H566" i="3" s="1"/>
  <c r="G43" i="3"/>
  <c r="H43" i="3" s="1"/>
  <c r="G160" i="3"/>
  <c r="H160" i="3" s="1"/>
  <c r="G413" i="3"/>
  <c r="H413" i="3" s="1"/>
  <c r="G76" i="3"/>
  <c r="H76" i="3" s="1"/>
  <c r="G464" i="3"/>
  <c r="H464" i="3" s="1"/>
  <c r="G562" i="3"/>
  <c r="H562" i="3" s="1"/>
  <c r="G496" i="3"/>
  <c r="H496" i="3" s="1"/>
  <c r="G694" i="3"/>
  <c r="H694" i="3" s="1"/>
  <c r="G40" i="3"/>
  <c r="H40" i="3" s="1"/>
  <c r="G601" i="3"/>
  <c r="H601" i="3" s="1"/>
  <c r="G406" i="3"/>
  <c r="H406" i="3" s="1"/>
  <c r="G515" i="3"/>
  <c r="H515" i="3" s="1"/>
  <c r="G283" i="3"/>
  <c r="H283" i="3" s="1"/>
  <c r="G697" i="3"/>
  <c r="H697" i="3" s="1"/>
  <c r="G4" i="3"/>
  <c r="H4" i="3" s="1"/>
  <c r="G712" i="3"/>
  <c r="H712" i="3" s="1"/>
  <c r="G124" i="3"/>
  <c r="H124" i="3" s="1"/>
  <c r="G423" i="3"/>
  <c r="H423" i="3" s="1"/>
  <c r="G23" i="3"/>
  <c r="H23" i="3" s="1"/>
  <c r="G671" i="3"/>
  <c r="H671" i="3" s="1"/>
  <c r="G434" i="3"/>
  <c r="H434" i="3" s="1"/>
  <c r="G443" i="3"/>
  <c r="H443" i="3" s="1"/>
  <c r="G394" i="3"/>
  <c r="H394" i="3" s="1"/>
  <c r="G494" i="3"/>
  <c r="H494" i="3" s="1"/>
  <c r="G327" i="3"/>
  <c r="H327" i="3" s="1"/>
  <c r="G510" i="3"/>
  <c r="H510" i="3" s="1"/>
  <c r="G690" i="3"/>
  <c r="H690" i="3" s="1"/>
  <c r="G646" i="3"/>
  <c r="H646" i="3" s="1"/>
  <c r="G469" i="3"/>
  <c r="H469" i="3" s="1"/>
  <c r="G88" i="3"/>
  <c r="H88" i="3" s="1"/>
  <c r="G567" i="3"/>
  <c r="H567" i="3" s="1"/>
  <c r="G695" i="3"/>
  <c r="H695" i="3" s="1"/>
  <c r="G272" i="3"/>
  <c r="H272" i="3" s="1"/>
  <c r="G162" i="3"/>
  <c r="H162" i="3" s="1"/>
  <c r="G633" i="3"/>
  <c r="H633" i="3" s="1"/>
  <c r="G93" i="3"/>
  <c r="H93" i="3" s="1"/>
  <c r="G623" i="3"/>
  <c r="H623" i="3" s="1"/>
  <c r="G637" i="3"/>
  <c r="H637" i="3" s="1"/>
  <c r="G393" i="3"/>
  <c r="H393" i="3" s="1"/>
  <c r="G215" i="3"/>
  <c r="H215" i="3" s="1"/>
  <c r="G152" i="3"/>
  <c r="H152" i="3" s="1"/>
  <c r="G676" i="3"/>
  <c r="H676" i="3" s="1"/>
  <c r="G271" i="3"/>
  <c r="H271" i="3" s="1"/>
  <c r="G573" i="3"/>
  <c r="H573" i="3" s="1"/>
  <c r="G321" i="3"/>
  <c r="H321" i="3" s="1"/>
  <c r="G550" i="3"/>
  <c r="H550" i="3" s="1"/>
  <c r="G481" i="3"/>
  <c r="H481" i="3" s="1"/>
  <c r="G446" i="3"/>
  <c r="H446" i="3" s="1"/>
  <c r="G241" i="3"/>
  <c r="H241" i="3" s="1"/>
  <c r="G184" i="3"/>
  <c r="H184" i="3" s="1"/>
  <c r="G620" i="3"/>
  <c r="H620" i="3" s="1"/>
  <c r="G333" i="3"/>
  <c r="H333" i="3" s="1"/>
  <c r="G547" i="3"/>
  <c r="H547" i="3" s="1"/>
  <c r="G504" i="3"/>
  <c r="H504" i="3" s="1"/>
  <c r="G717" i="3"/>
  <c r="H717" i="3" s="1"/>
  <c r="G677" i="3"/>
  <c r="H677" i="3" s="1"/>
  <c r="G252" i="3"/>
  <c r="H252" i="3" s="1"/>
  <c r="G201" i="3"/>
  <c r="H201" i="3" s="1"/>
  <c r="G46" i="3"/>
  <c r="H46" i="3" s="1"/>
  <c r="G622" i="3"/>
  <c r="H622" i="3" s="1"/>
  <c r="G359" i="3"/>
  <c r="H359" i="3" s="1"/>
  <c r="G460" i="3"/>
  <c r="H460" i="3" s="1"/>
  <c r="G388" i="3"/>
  <c r="H388" i="3" s="1"/>
  <c r="G426" i="3"/>
  <c r="H426" i="3" s="1"/>
  <c r="G356" i="3"/>
  <c r="H356" i="3" s="1"/>
  <c r="G254" i="3"/>
  <c r="H254" i="3" s="1"/>
  <c r="G600" i="3"/>
  <c r="H600" i="3" s="1"/>
  <c r="G642" i="3"/>
  <c r="H642" i="3" s="1"/>
  <c r="G572" i="3"/>
  <c r="H572" i="3" s="1"/>
  <c r="G576" i="3"/>
  <c r="H576" i="3" s="1"/>
  <c r="G568" i="3"/>
  <c r="H568" i="3" s="1"/>
  <c r="G180" i="3"/>
  <c r="H180" i="3" s="1"/>
  <c r="G260" i="3"/>
  <c r="H260" i="3" s="1"/>
  <c r="G137" i="3"/>
  <c r="H137" i="3" s="1"/>
  <c r="G570" i="3"/>
  <c r="H570" i="3" s="1"/>
  <c r="G138" i="3"/>
  <c r="H138" i="3" s="1"/>
  <c r="G711" i="3"/>
  <c r="H711" i="3" s="1"/>
  <c r="G199" i="3"/>
  <c r="H199" i="3" s="1"/>
  <c r="G683" i="3"/>
  <c r="H683" i="3" s="1"/>
  <c r="G640" i="3"/>
  <c r="H640" i="3" s="1"/>
  <c r="G553" i="3"/>
  <c r="H553" i="3" s="1"/>
  <c r="G135" i="3"/>
  <c r="H135" i="3" s="1"/>
  <c r="G478" i="3"/>
  <c r="H478" i="3" s="1"/>
  <c r="G319" i="3"/>
  <c r="H319" i="3" s="1"/>
  <c r="G699" i="3"/>
  <c r="H699" i="3" s="1"/>
  <c r="G603" i="3"/>
  <c r="H603" i="3" s="1"/>
  <c r="G292" i="3"/>
  <c r="H292" i="3" s="1"/>
  <c r="G627" i="3"/>
  <c r="H627" i="3" s="1"/>
  <c r="G495" i="3"/>
  <c r="H495" i="3" s="1"/>
  <c r="G267" i="3"/>
  <c r="H267" i="3" s="1"/>
  <c r="G304" i="3"/>
  <c r="H304" i="3" s="1"/>
  <c r="G171" i="3"/>
  <c r="H171" i="3" s="1"/>
  <c r="G435" i="3"/>
  <c r="H435" i="3" s="1"/>
  <c r="G672" i="3"/>
  <c r="H672" i="3" s="1"/>
  <c r="G681" i="3"/>
  <c r="H681" i="3" s="1"/>
  <c r="G289" i="3"/>
  <c r="H289" i="3" s="1"/>
  <c r="G714" i="3"/>
  <c r="H714" i="3" s="1"/>
  <c r="G386" i="3"/>
  <c r="H386" i="3" s="1"/>
  <c r="G664" i="3"/>
  <c r="H664" i="3" s="1"/>
  <c r="G437" i="3"/>
  <c r="H437" i="3" s="1"/>
  <c r="G727" i="3"/>
  <c r="H727" i="3" s="1"/>
  <c r="G198" i="3"/>
  <c r="H198" i="3" s="1"/>
  <c r="G175" i="3"/>
  <c r="H175" i="3" s="1"/>
  <c r="G71" i="3"/>
  <c r="H71" i="3" s="1"/>
  <c r="G213" i="3"/>
  <c r="H213" i="3" s="1"/>
  <c r="G613" i="3"/>
  <c r="H613" i="3" s="1"/>
  <c r="G721" i="3"/>
  <c r="H721" i="3" s="1"/>
  <c r="G703" i="3"/>
  <c r="H703" i="3" s="1"/>
  <c r="G728" i="3"/>
  <c r="H728" i="3" s="1"/>
  <c r="G709" i="3"/>
  <c r="H709" i="3" s="1"/>
  <c r="G98" i="3"/>
  <c r="H98" i="3" s="1"/>
  <c r="G53" i="3"/>
  <c r="H53" i="3" s="1"/>
  <c r="G12" i="3"/>
  <c r="H12" i="3" s="1"/>
  <c r="G656" i="3"/>
  <c r="H656" i="3" s="1"/>
  <c r="G540" i="3"/>
  <c r="H540" i="3" s="1"/>
  <c r="G719" i="3"/>
  <c r="H719" i="3" s="1"/>
  <c r="G488" i="3"/>
  <c r="H488" i="3" s="1"/>
  <c r="G409" i="3"/>
  <c r="H409" i="3" s="1"/>
  <c r="G224" i="3"/>
  <c r="H224" i="3" s="1"/>
  <c r="G159" i="3"/>
  <c r="H159" i="3" s="1"/>
  <c r="G20" i="3"/>
  <c r="H20" i="3" s="1"/>
  <c r="G514" i="3"/>
  <c r="H514" i="3" s="1"/>
  <c r="G650" i="3"/>
  <c r="H650" i="3" s="1"/>
  <c r="G569" i="3"/>
  <c r="H569" i="3" s="1"/>
  <c r="G618" i="3"/>
  <c r="H618" i="3" s="1"/>
  <c r="G116" i="3"/>
  <c r="H116" i="3" s="1"/>
  <c r="G643" i="3"/>
  <c r="H643" i="3" s="1"/>
  <c r="G595" i="3"/>
  <c r="H595" i="3" s="1"/>
  <c r="G390" i="3"/>
  <c r="H390" i="3" s="1"/>
  <c r="G634" i="3"/>
  <c r="H634" i="3" s="1"/>
  <c r="G456" i="3"/>
  <c r="H456" i="3" s="1"/>
  <c r="G101" i="3"/>
  <c r="H101" i="3" s="1"/>
  <c r="G22" i="3"/>
  <c r="H22" i="3" s="1"/>
  <c r="G54" i="3"/>
  <c r="H54" i="3" s="1"/>
  <c r="G10" i="3"/>
  <c r="H10" i="3" s="1"/>
  <c r="G7" i="3"/>
  <c r="H7" i="3" s="1"/>
  <c r="G15" i="3"/>
  <c r="H15" i="3" s="1"/>
  <c r="G520" i="3"/>
  <c r="H520" i="3" s="1"/>
  <c r="G512" i="3"/>
  <c r="H512" i="3" s="1"/>
  <c r="G37" i="3"/>
  <c r="H37" i="3" s="1"/>
  <c r="G378" i="3"/>
  <c r="H378" i="3" s="1"/>
  <c r="G142" i="3"/>
  <c r="H142" i="3" s="1"/>
  <c r="G522" i="3"/>
  <c r="H522" i="3" s="1"/>
  <c r="G517" i="3"/>
  <c r="H517" i="3" s="1"/>
  <c r="G607" i="3"/>
  <c r="H607" i="3" s="1"/>
  <c r="G166" i="3"/>
  <c r="H166" i="3" s="1"/>
  <c r="G662" i="3"/>
  <c r="H662" i="3" s="1"/>
  <c r="G739" i="3"/>
  <c r="H739" i="3" s="1"/>
  <c r="G382" i="3"/>
  <c r="H382" i="3" s="1"/>
  <c r="G105" i="3"/>
  <c r="H105" i="3" s="1"/>
  <c r="G92" i="3"/>
  <c r="H92" i="3" s="1"/>
  <c r="G120" i="3"/>
  <c r="H120" i="3" s="1"/>
  <c r="G107" i="3"/>
  <c r="H107" i="3" s="1"/>
  <c r="G438" i="3"/>
  <c r="H438" i="3" s="1"/>
  <c r="G397" i="3"/>
  <c r="H397" i="3" s="1"/>
  <c r="G400" i="3"/>
  <c r="H400" i="3" s="1"/>
  <c r="G626" i="3"/>
  <c r="H626" i="3" s="1"/>
  <c r="G442" i="3"/>
  <c r="H442" i="3" s="1"/>
  <c r="G518" i="3"/>
  <c r="H518" i="3" s="1"/>
  <c r="G736" i="3"/>
  <c r="H736" i="3" s="1"/>
  <c r="G545" i="3"/>
  <c r="H545" i="3" s="1"/>
  <c r="G661" i="3"/>
  <c r="H661" i="3" s="1"/>
  <c r="G536" i="3"/>
  <c r="H536" i="3" s="1"/>
  <c r="G317" i="3"/>
  <c r="H317" i="3" s="1"/>
  <c r="G268" i="3"/>
  <c r="H268" i="3" s="1"/>
  <c r="G454" i="3"/>
  <c r="H454" i="3" s="1"/>
  <c r="G8" i="3"/>
  <c r="H8" i="3" s="1"/>
  <c r="G248" i="3"/>
  <c r="H248" i="3" s="1"/>
  <c r="G581" i="3"/>
  <c r="H581" i="3" s="1"/>
  <c r="G282" i="3"/>
  <c r="H282" i="3" s="1"/>
  <c r="G740" i="3"/>
  <c r="H740" i="3" s="1"/>
  <c r="G349" i="3"/>
  <c r="H349" i="3" s="1"/>
  <c r="G710" i="3"/>
  <c r="H710" i="3" s="1"/>
  <c r="G502" i="3"/>
  <c r="H502" i="3" s="1"/>
  <c r="G297" i="3"/>
  <c r="H297" i="3" s="1"/>
  <c r="G244" i="3"/>
  <c r="H244" i="3" s="1"/>
  <c r="G687" i="3"/>
  <c r="H687" i="3" s="1"/>
  <c r="G692" i="3"/>
  <c r="H692" i="3" s="1"/>
  <c r="G742" i="3"/>
  <c r="H742" i="3" s="1"/>
  <c r="G338" i="3"/>
  <c r="H338" i="3" s="1"/>
  <c r="G264" i="3"/>
  <c r="H264" i="3" s="1"/>
  <c r="G535" i="3"/>
  <c r="H535" i="3" s="1"/>
  <c r="G499" i="3"/>
  <c r="H499" i="3" s="1"/>
  <c r="G503" i="3"/>
  <c r="H503" i="3" s="1"/>
  <c r="G450" i="3"/>
  <c r="H450" i="3" s="1"/>
  <c r="G182" i="3"/>
  <c r="H182" i="3" s="1"/>
  <c r="G482" i="3"/>
  <c r="H482" i="3" s="1"/>
  <c r="G410" i="3"/>
  <c r="H410" i="3" s="1"/>
  <c r="G276" i="3"/>
  <c r="H276" i="3" s="1"/>
  <c r="G178" i="3"/>
  <c r="H178" i="3" s="1"/>
  <c r="G385" i="3"/>
  <c r="H385" i="3" s="1"/>
  <c r="G212" i="3"/>
  <c r="H212" i="3" s="1"/>
  <c r="G173" i="3"/>
  <c r="H173" i="3" s="1"/>
  <c r="G636" i="3"/>
  <c r="H636" i="3" s="1"/>
  <c r="G725" i="3"/>
  <c r="H725" i="3" s="1"/>
  <c r="G424" i="3"/>
  <c r="H424" i="3" s="1"/>
  <c r="G549" i="3"/>
  <c r="H549" i="3" s="1"/>
  <c r="G700" i="3"/>
  <c r="H700" i="3" s="1"/>
  <c r="G370" i="3"/>
  <c r="H370" i="3" s="1"/>
  <c r="G18" i="3"/>
  <c r="H18" i="3" s="1"/>
  <c r="G528" i="3"/>
  <c r="H528" i="3" s="1"/>
  <c r="G705" i="3"/>
  <c r="H705" i="3" s="1"/>
  <c r="G669" i="3"/>
  <c r="H669" i="3" s="1"/>
  <c r="G115" i="3"/>
  <c r="H115" i="3" s="1"/>
  <c r="G641" i="3"/>
  <c r="H641" i="3" s="1"/>
  <c r="G445" i="3"/>
  <c r="H445" i="3" s="1"/>
  <c r="G408" i="3"/>
  <c r="H408" i="3" s="1"/>
  <c r="G311" i="3"/>
  <c r="H311" i="3" s="1"/>
  <c r="G195" i="3"/>
  <c r="H195" i="3" s="1"/>
  <c r="G209" i="3"/>
  <c r="H209" i="3" s="1"/>
  <c r="G610" i="3"/>
  <c r="H610" i="3" s="1"/>
  <c r="G422" i="3"/>
  <c r="H422" i="3" s="1"/>
  <c r="G735" i="3"/>
  <c r="H735" i="3" s="1"/>
  <c r="G63" i="3"/>
  <c r="H63" i="3" s="1"/>
  <c r="G415" i="3"/>
  <c r="H415" i="3" s="1"/>
  <c r="G80" i="3"/>
  <c r="H80" i="3" s="1"/>
  <c r="G441" i="3"/>
  <c r="H441" i="3" s="1"/>
  <c r="G302" i="3"/>
  <c r="H302" i="3" s="1"/>
  <c r="G274" i="3"/>
  <c r="H274" i="3" s="1"/>
  <c r="G616" i="3"/>
  <c r="H616" i="3" s="1"/>
  <c r="G608" i="3"/>
  <c r="H608" i="3" s="1"/>
  <c r="G33" i="3"/>
  <c r="H33" i="3" s="1"/>
  <c r="G655" i="3"/>
  <c r="H655" i="3" s="1"/>
  <c r="G628" i="3"/>
  <c r="H628" i="3" s="1"/>
  <c r="G351" i="3"/>
  <c r="H351" i="3" s="1"/>
  <c r="G673" i="3"/>
  <c r="H673" i="3" s="1"/>
  <c r="G663" i="3"/>
  <c r="H663" i="3" s="1"/>
  <c r="G678" i="3"/>
  <c r="H678" i="3" s="1"/>
  <c r="G696" i="3"/>
  <c r="H696" i="3" s="1"/>
  <c r="G310" i="3"/>
  <c r="H310" i="3" s="1"/>
  <c r="G140" i="3"/>
  <c r="H140" i="3" s="1"/>
  <c r="G281" i="3"/>
  <c r="H281" i="3" s="1"/>
  <c r="G223" i="3"/>
  <c r="H223" i="3" s="1"/>
  <c r="G147" i="3"/>
  <c r="H147" i="3" s="1"/>
  <c r="G596" i="3"/>
  <c r="H596" i="3" s="1"/>
  <c r="G362" i="3"/>
  <c r="H362" i="3" s="1"/>
  <c r="G84" i="3"/>
  <c r="H84" i="3" s="1"/>
  <c r="G360" i="3"/>
  <c r="H360" i="3" s="1"/>
  <c r="G31" i="3"/>
  <c r="H31" i="3" s="1"/>
  <c r="G72" i="3"/>
  <c r="H72" i="3" s="1"/>
  <c r="G429" i="3"/>
  <c r="H429" i="3" s="1"/>
  <c r="G617" i="3"/>
  <c r="H617" i="3" s="1"/>
  <c r="G552" i="3"/>
  <c r="H552" i="3" s="1"/>
  <c r="G288" i="3"/>
  <c r="H288" i="3" s="1"/>
  <c r="G307" i="3"/>
  <c r="H307" i="3" s="1"/>
  <c r="G493" i="3"/>
  <c r="H493" i="3" s="1"/>
  <c r="G731" i="3"/>
  <c r="H731" i="3" s="1"/>
  <c r="G492" i="3"/>
  <c r="H492" i="3" s="1"/>
  <c r="G624" i="3"/>
  <c r="H624" i="3" s="1"/>
  <c r="G380" i="3"/>
  <c r="H380" i="3" s="1"/>
  <c r="G583" i="3"/>
  <c r="H583" i="3" s="1"/>
  <c r="G585" i="3"/>
  <c r="H585" i="3" s="1"/>
  <c r="G202" i="3"/>
  <c r="H202" i="3" s="1"/>
  <c r="G575" i="3"/>
  <c r="H575" i="3" s="1"/>
  <c r="G232" i="3"/>
  <c r="H232" i="3" s="1"/>
  <c r="G558" i="3"/>
  <c r="H558" i="3" s="1"/>
  <c r="G78" i="3"/>
  <c r="H78" i="3" s="1"/>
  <c r="G704" i="3"/>
  <c r="H704" i="3" s="1"/>
  <c r="G60" i="3"/>
  <c r="H60" i="3" s="1"/>
  <c r="G35" i="3"/>
  <c r="H35" i="3" s="1"/>
  <c r="G126" i="3"/>
  <c r="H126" i="3" s="1"/>
  <c r="G750" i="3"/>
  <c r="H750" i="3" s="1"/>
  <c r="G365" i="3"/>
  <c r="H365" i="3" s="1"/>
  <c r="G345" i="3"/>
  <c r="H345" i="3" s="1"/>
  <c r="G299" i="3"/>
  <c r="H299" i="3" s="1"/>
  <c r="G706" i="3"/>
  <c r="H706" i="3" s="1"/>
  <c r="G186" i="3"/>
  <c r="H186" i="3" s="1"/>
  <c r="G532" i="3"/>
  <c r="H532" i="3" s="1"/>
  <c r="G577" i="3"/>
  <c r="H577" i="3" s="1"/>
  <c r="G239" i="3"/>
  <c r="H239" i="3" s="1"/>
  <c r="G486" i="3"/>
  <c r="H486" i="3" s="1"/>
  <c r="G519" i="3"/>
  <c r="H519" i="3" s="1"/>
  <c r="G489" i="3"/>
  <c r="H489" i="3" s="1"/>
  <c r="G707" i="3"/>
  <c r="H707" i="3" s="1"/>
  <c r="G525" i="3"/>
  <c r="H525" i="3" s="1"/>
  <c r="G526" i="3"/>
  <c r="H526" i="3" s="1"/>
  <c r="G240" i="3"/>
  <c r="H240" i="3" s="1"/>
  <c r="G732" i="3"/>
  <c r="H732" i="3" s="1"/>
  <c r="G339" i="3"/>
  <c r="H339" i="3" s="1"/>
  <c r="G606" i="3"/>
  <c r="H606" i="3" s="1"/>
  <c r="G666" i="3"/>
  <c r="H666" i="3" s="1"/>
  <c r="G318" i="3"/>
  <c r="H318" i="3" s="1"/>
  <c r="G657" i="3"/>
  <c r="H657" i="3" s="1"/>
  <c r="G73" i="3"/>
  <c r="H73" i="3" s="1"/>
  <c r="G452" i="3"/>
  <c r="H452" i="3" s="1"/>
  <c r="G243" i="3"/>
  <c r="H243" i="3" s="1"/>
  <c r="G9" i="3"/>
  <c r="H9" i="3" s="1"/>
  <c r="G554" i="3"/>
  <c r="H554" i="3" s="1"/>
  <c r="G193" i="3"/>
  <c r="H193" i="3" s="1"/>
  <c r="G368" i="3"/>
  <c r="H368" i="3" s="1"/>
  <c r="G698" i="3"/>
  <c r="H698" i="3" s="1"/>
  <c r="G631" i="3"/>
  <c r="H631" i="3" s="1"/>
  <c r="G216" i="3"/>
  <c r="H216" i="3" s="1"/>
  <c r="G602" i="3"/>
  <c r="H602" i="3" s="1"/>
  <c r="G713" i="3"/>
  <c r="H713" i="3" s="1"/>
  <c r="G473" i="3"/>
  <c r="H473" i="3" s="1"/>
  <c r="G217" i="3"/>
  <c r="H217" i="3" s="1"/>
  <c r="G593" i="3"/>
  <c r="H593" i="3" s="1"/>
  <c r="G679" i="3"/>
  <c r="H679" i="3" s="1"/>
  <c r="G701" i="3"/>
  <c r="H701" i="3" s="1"/>
  <c r="G559" i="3"/>
  <c r="H559" i="3" s="1"/>
  <c r="G630" i="3"/>
  <c r="H630" i="3" s="1"/>
  <c r="G651" i="3"/>
  <c r="H651" i="3" s="1"/>
  <c r="G164" i="3"/>
  <c r="H164" i="3" s="1"/>
  <c r="G475" i="3"/>
  <c r="H475" i="3" s="1"/>
  <c r="G401" i="3"/>
  <c r="H401" i="3" s="1"/>
  <c r="G75" i="3"/>
  <c r="H75" i="3" s="1"/>
  <c r="G467" i="3"/>
  <c r="H467" i="3" s="1"/>
  <c r="G405" i="3"/>
  <c r="H405" i="3" s="1"/>
  <c r="G189" i="3"/>
  <c r="H189" i="3" s="1"/>
  <c r="G416" i="3"/>
  <c r="H416" i="3" s="1"/>
  <c r="G325" i="3"/>
  <c r="H325" i="3" s="1"/>
  <c r="G270" i="3"/>
  <c r="H270" i="3" s="1"/>
  <c r="G590" i="3"/>
  <c r="H590" i="3" s="1"/>
  <c r="G675" i="3"/>
  <c r="H675" i="3" s="1"/>
  <c r="G720" i="3"/>
  <c r="H720" i="3" s="1"/>
  <c r="G236" i="3"/>
  <c r="H236" i="3" s="1"/>
  <c r="G511" i="3"/>
  <c r="H511" i="3" s="1"/>
  <c r="G629" i="3"/>
  <c r="H629" i="3" s="1"/>
  <c r="G381" i="3"/>
  <c r="H381" i="3" s="1"/>
  <c r="G734" i="3"/>
  <c r="H734" i="3" s="1"/>
  <c r="G658" i="3"/>
  <c r="H658" i="3" s="1"/>
  <c r="G122" i="3"/>
  <c r="H122" i="3" s="1"/>
  <c r="G625" i="3"/>
  <c r="H625" i="3" s="1"/>
  <c r="G59" i="3"/>
  <c r="H59" i="3" s="1"/>
  <c r="G619" i="3"/>
  <c r="H619" i="3" s="1"/>
  <c r="G366" i="3"/>
  <c r="H366" i="3" s="1"/>
  <c r="G430" i="3"/>
  <c r="H430" i="3" s="1"/>
  <c r="G343" i="3"/>
  <c r="H343" i="3" s="1"/>
  <c r="G584" i="3"/>
  <c r="H584" i="3" s="1"/>
  <c r="G513" i="3"/>
  <c r="H513" i="3" s="1"/>
  <c r="G648" i="3"/>
  <c r="H648" i="3" s="1"/>
  <c r="G231" i="3"/>
  <c r="H231" i="3" s="1"/>
  <c r="G561" i="3"/>
  <c r="H561" i="3" s="1"/>
  <c r="G716" i="3"/>
  <c r="H716" i="3" s="1"/>
  <c r="G234" i="3"/>
  <c r="H234" i="3" s="1"/>
  <c r="G247" i="3"/>
  <c r="H247" i="3" s="1"/>
  <c r="G99" i="3"/>
  <c r="H99" i="3" s="1"/>
  <c r="G556" i="3"/>
  <c r="H556" i="3" s="1"/>
  <c r="G39" i="3"/>
  <c r="H39" i="3" s="1"/>
  <c r="G402" i="3"/>
  <c r="H402" i="3" s="1"/>
  <c r="G689" i="3"/>
  <c r="H689" i="3" s="1"/>
  <c r="G537" i="3"/>
  <c r="H537" i="3" s="1"/>
  <c r="G312" i="3"/>
  <c r="H312" i="3" s="1"/>
  <c r="G300" i="3"/>
  <c r="H300" i="3" s="1"/>
  <c r="G316" i="3"/>
  <c r="H316" i="3" s="1"/>
  <c r="G729" i="3"/>
  <c r="H729" i="3" s="1"/>
  <c r="G497" i="3"/>
  <c r="H497" i="3" s="1"/>
  <c r="G591" i="3"/>
  <c r="H591" i="3" s="1"/>
  <c r="G738" i="3"/>
  <c r="H738" i="3" s="1"/>
  <c r="G599" i="3"/>
  <c r="H599" i="3" s="1"/>
  <c r="G14" i="3"/>
  <c r="H14" i="3" s="1"/>
  <c r="G609" i="3"/>
  <c r="H609" i="3" s="1"/>
  <c r="G541" i="3"/>
  <c r="H541" i="3" s="1"/>
  <c r="G305" i="3"/>
  <c r="H305" i="3" s="1"/>
  <c r="G597" i="3"/>
  <c r="H597" i="3" s="1"/>
  <c r="G256" i="3"/>
  <c r="H256" i="3" s="1"/>
  <c r="G61" i="3"/>
  <c r="H61" i="3" s="1"/>
  <c r="G29" i="3"/>
  <c r="H29" i="3" s="1"/>
  <c r="G67" i="3"/>
  <c r="H67" i="3" s="1"/>
  <c r="G308" i="3"/>
  <c r="H308" i="3" s="1"/>
  <c r="G48" i="3"/>
  <c r="H48" i="3" s="1"/>
  <c r="G653" i="3"/>
  <c r="H653" i="3" s="1"/>
  <c r="G741" i="3"/>
  <c r="H741" i="3" s="1"/>
  <c r="G334" i="3"/>
  <c r="H334" i="3" s="1"/>
  <c r="G194" i="3"/>
  <c r="H194" i="3" s="1"/>
  <c r="G571" i="3"/>
  <c r="H571" i="3" s="1"/>
  <c r="G586" i="3"/>
  <c r="H586" i="3" s="1"/>
  <c r="G341" i="3"/>
  <c r="H341" i="3" s="1"/>
  <c r="G543" i="3"/>
  <c r="H543" i="3" s="1"/>
  <c r="G564" i="3"/>
  <c r="H564" i="3" s="1"/>
  <c r="G196" i="3"/>
  <c r="H196" i="3" s="1"/>
  <c r="G364" i="3"/>
  <c r="H364" i="3" s="1"/>
  <c r="G111" i="3"/>
  <c r="H111" i="3" s="1"/>
  <c r="G715" i="3"/>
  <c r="H715" i="3" s="1"/>
  <c r="G684" i="3"/>
  <c r="H684" i="3" s="1"/>
  <c r="G19" i="3"/>
  <c r="H19" i="3" s="1"/>
  <c r="G90" i="3"/>
  <c r="H90" i="3" s="1"/>
  <c r="G235" i="3"/>
  <c r="H235" i="3" s="1"/>
  <c r="G44" i="3"/>
  <c r="H44" i="3" s="1"/>
  <c r="G418" i="3"/>
  <c r="H418" i="3" s="1"/>
  <c r="G141" i="3"/>
  <c r="H141" i="3" s="1"/>
  <c r="G546" i="3"/>
  <c r="H546" i="3" s="1"/>
  <c r="G145" i="3"/>
  <c r="H145" i="3" s="1"/>
  <c r="G110" i="3"/>
  <c r="H110" i="3" s="1"/>
  <c r="G588" i="3"/>
  <c r="H588" i="3" s="1"/>
  <c r="G632" i="3"/>
  <c r="H632" i="3" s="1"/>
  <c r="G665" i="3"/>
  <c r="H665" i="3" s="1"/>
  <c r="G470" i="3"/>
  <c r="H470" i="3" s="1"/>
  <c r="G28" i="3"/>
  <c r="H28" i="3" s="1"/>
  <c r="G659" i="3"/>
  <c r="H659" i="3" s="1"/>
  <c r="G508" i="3"/>
  <c r="H508" i="3" s="1"/>
  <c r="G136" i="3"/>
  <c r="H136" i="3" s="1"/>
  <c r="G615" i="3"/>
  <c r="H615" i="3" s="1"/>
  <c r="G647" i="3"/>
  <c r="H647" i="3" s="1"/>
  <c r="G748" i="3"/>
  <c r="H748" i="3" s="1"/>
  <c r="G544" i="3"/>
  <c r="H544" i="3" s="1"/>
  <c r="G686" i="3"/>
  <c r="H686" i="3" s="1"/>
  <c r="G587" i="3"/>
  <c r="H587" i="3" s="1"/>
  <c r="G83" i="3"/>
  <c r="H83" i="3" s="1"/>
  <c r="G250" i="3"/>
  <c r="H250" i="3" s="1"/>
  <c r="G183" i="3"/>
  <c r="H183" i="3" s="1"/>
  <c r="G479" i="3"/>
  <c r="H479" i="3" s="1"/>
  <c r="G153" i="3"/>
  <c r="H153" i="3" s="1"/>
  <c r="G708" i="3"/>
  <c r="H708" i="3" s="1"/>
  <c r="G563" i="3"/>
  <c r="H563" i="3" s="1"/>
  <c r="G614" i="3"/>
  <c r="H614" i="3" s="1"/>
  <c r="G605" i="3"/>
  <c r="H605" i="3" s="1"/>
  <c r="G507" i="3"/>
  <c r="H507" i="3" s="1"/>
  <c r="G148" i="3"/>
  <c r="H148" i="3" s="1"/>
  <c r="G350" i="3"/>
  <c r="H350" i="3" s="1"/>
  <c r="G348" i="3"/>
  <c r="H348" i="3" s="1"/>
  <c r="G280" i="3"/>
  <c r="H280" i="3" s="1"/>
  <c r="G130" i="3"/>
  <c r="H130" i="3" s="1"/>
  <c r="G384" i="3"/>
  <c r="H384" i="3" s="1"/>
  <c r="G403" i="3"/>
  <c r="H403" i="3" s="1"/>
  <c r="G221" i="3"/>
  <c r="H221" i="3" s="1"/>
  <c r="G32" i="3"/>
  <c r="H32" i="3" s="1"/>
  <c r="G374" i="3"/>
  <c r="H374" i="3" s="1"/>
  <c r="G303" i="3"/>
  <c r="H303" i="3" s="1"/>
  <c r="G484" i="3"/>
  <c r="H484" i="3" s="1"/>
  <c r="G113" i="3"/>
  <c r="H113" i="3" s="1"/>
  <c r="G238" i="3"/>
  <c r="H238" i="3" s="1"/>
  <c r="G324" i="3"/>
  <c r="H324" i="3" s="1"/>
  <c r="G242" i="3"/>
  <c r="H242" i="3" s="1"/>
  <c r="G24" i="3"/>
  <c r="H24" i="3" s="1"/>
  <c r="G579" i="3"/>
  <c r="H579" i="3" s="1"/>
  <c r="G322" i="3"/>
  <c r="H322" i="3" s="1"/>
  <c r="G458" i="3"/>
  <c r="H458" i="3" s="1"/>
  <c r="G89" i="3"/>
  <c r="H89" i="3" s="1"/>
  <c r="G203" i="3"/>
  <c r="H203" i="3" s="1"/>
  <c r="G191" i="3"/>
  <c r="H191" i="3" s="1"/>
  <c r="G251" i="3"/>
  <c r="H251" i="3" s="1"/>
  <c r="G41" i="3"/>
  <c r="H41" i="3" s="1"/>
  <c r="G743" i="3"/>
  <c r="H743" i="3" s="1"/>
  <c r="G287" i="3"/>
  <c r="H287" i="3" s="1"/>
  <c r="G369" i="3"/>
  <c r="H369" i="3" s="1"/>
  <c r="G277" i="3"/>
  <c r="H277" i="3" s="1"/>
  <c r="G560" i="3"/>
  <c r="H560" i="3" s="1"/>
  <c r="G323" i="3"/>
  <c r="H323" i="3" s="1"/>
  <c r="G168" i="3"/>
  <c r="H168" i="3" s="1"/>
  <c r="G6" i="3"/>
  <c r="H6" i="3" s="1"/>
  <c r="G265" i="3"/>
  <c r="H265" i="3" s="1"/>
  <c r="G285" i="3"/>
  <c r="H285" i="3" s="1"/>
  <c r="G155" i="3"/>
  <c r="H155" i="3" s="1"/>
  <c r="G49" i="3"/>
  <c r="H49" i="3" s="1"/>
  <c r="G498" i="3"/>
  <c r="H498" i="3" s="1"/>
  <c r="G474" i="3"/>
  <c r="H474" i="3" s="1"/>
  <c r="G290" i="3"/>
  <c r="H290" i="3" s="1"/>
  <c r="G463" i="3"/>
  <c r="H463" i="3" s="1"/>
  <c r="G214" i="3"/>
  <c r="H214" i="3" s="1"/>
  <c r="G261" i="3"/>
  <c r="H261" i="3" s="1"/>
  <c r="G62" i="3"/>
  <c r="H62" i="3" s="1"/>
  <c r="G38" i="3"/>
  <c r="H38" i="3" s="1"/>
  <c r="G363" i="3"/>
  <c r="H363" i="3" s="1"/>
  <c r="G447" i="3"/>
  <c r="H447" i="3" s="1"/>
  <c r="G301" i="3"/>
  <c r="H301" i="3" s="1"/>
  <c r="G428" i="3"/>
  <c r="H428" i="3" s="1"/>
  <c r="G131" i="3"/>
  <c r="H131" i="3" s="1"/>
  <c r="G275" i="3"/>
  <c r="H275" i="3" s="1"/>
  <c r="G192" i="3"/>
  <c r="H192" i="3" s="1"/>
  <c r="G621" i="3"/>
  <c r="H621" i="3" s="1"/>
  <c r="G176" i="3"/>
  <c r="H176" i="3" s="1"/>
  <c r="G185" i="3"/>
  <c r="H185" i="3" s="1"/>
  <c r="G611" i="3"/>
  <c r="H611" i="3" s="1"/>
  <c r="G604" i="3"/>
  <c r="H604" i="3" s="1"/>
  <c r="G477" i="3"/>
  <c r="H477" i="3" s="1"/>
  <c r="G167" i="3"/>
  <c r="H167" i="3" s="1"/>
  <c r="G347" i="3"/>
  <c r="H347" i="3" s="1"/>
  <c r="G157" i="3"/>
  <c r="H157" i="3" s="1"/>
  <c r="G237" i="3"/>
  <c r="H237" i="3" s="1"/>
  <c r="G373" i="3"/>
  <c r="H373" i="3" s="1"/>
  <c r="G336" i="3"/>
  <c r="H336" i="3" s="1"/>
  <c r="G119" i="3"/>
  <c r="H119" i="3" s="1"/>
  <c r="G249" i="3"/>
  <c r="H249" i="3" s="1"/>
  <c r="G161" i="3"/>
  <c r="H161" i="3" s="1"/>
  <c r="G320" i="3"/>
  <c r="H320" i="3" s="1"/>
  <c r="G109" i="3"/>
  <c r="H109" i="3" s="1"/>
  <c r="G200" i="3"/>
  <c r="H200" i="3" s="1"/>
  <c r="G346" i="3"/>
  <c r="H346" i="3" s="1"/>
  <c r="G2" i="3"/>
  <c r="H2" i="3" s="1"/>
  <c r="G531" i="3"/>
  <c r="H531" i="3" s="1"/>
  <c r="G688" i="3"/>
  <c r="H688" i="3" s="1"/>
  <c r="G521" i="3"/>
  <c r="H521" i="3" s="1"/>
  <c r="G480" i="3"/>
  <c r="H480" i="3" s="1"/>
  <c r="G82" i="3"/>
  <c r="H82" i="3" s="1"/>
  <c r="G255" i="3"/>
  <c r="H255" i="3" s="1"/>
  <c r="G565" i="3"/>
  <c r="H565" i="3" s="1"/>
  <c r="G16" i="3"/>
  <c r="H16" i="3" s="1"/>
  <c r="G419" i="3"/>
  <c r="H419" i="3" s="1"/>
  <c r="G26" i="3"/>
  <c r="H26" i="3" s="1"/>
  <c r="G85" i="3"/>
  <c r="H85" i="3" s="1"/>
  <c r="G146" i="3"/>
  <c r="H146" i="3" s="1"/>
  <c r="G134" i="3"/>
  <c r="H134" i="3" s="1"/>
  <c r="G58" i="3"/>
  <c r="H58" i="3" s="1"/>
  <c r="G555" i="3"/>
  <c r="H555" i="3" s="1"/>
  <c r="G227" i="3"/>
  <c r="H227" i="3" s="1"/>
  <c r="G372" i="3"/>
  <c r="H372" i="3" s="1"/>
  <c r="G448" i="3"/>
  <c r="H448" i="3" s="1"/>
  <c r="G257" i="3"/>
  <c r="H257" i="3" s="1"/>
  <c r="G181" i="3"/>
  <c r="H181" i="3" s="1"/>
  <c r="G127" i="3"/>
  <c r="H127" i="3" s="1"/>
  <c r="G30" i="3"/>
  <c r="H30" i="3" s="1"/>
  <c r="G342" i="3"/>
  <c r="H342" i="3" s="1"/>
  <c r="G471" i="3"/>
  <c r="H471" i="3" s="1"/>
  <c r="G309" i="3"/>
  <c r="H309" i="3" s="1"/>
  <c r="G389" i="3"/>
  <c r="H389" i="3" s="1"/>
  <c r="G190" i="3"/>
  <c r="H190" i="3" s="1"/>
  <c r="G269" i="3"/>
  <c r="H269" i="3" s="1"/>
  <c r="G65" i="3"/>
  <c r="H65" i="3" s="1"/>
  <c r="G50" i="3"/>
  <c r="H50" i="3" s="1"/>
  <c r="G724" i="3"/>
  <c r="H724" i="3" s="1"/>
  <c r="G293" i="3"/>
  <c r="H293" i="3" s="1"/>
  <c r="G169" i="3"/>
  <c r="H169" i="3" s="1"/>
  <c r="G263" i="3"/>
  <c r="H263" i="3" s="1"/>
  <c r="G337" i="3"/>
  <c r="H337" i="3" s="1"/>
  <c r="G392" i="3"/>
  <c r="H392" i="3" s="1"/>
  <c r="G330" i="3"/>
  <c r="H330" i="3" s="1"/>
  <c r="G357" i="3"/>
  <c r="H357" i="3" s="1"/>
  <c r="G112" i="3"/>
  <c r="H112" i="3" s="1"/>
  <c r="G208" i="3"/>
  <c r="H208" i="3" s="1"/>
  <c r="G225" i="3"/>
  <c r="H225" i="3" s="1"/>
  <c r="G534" i="3"/>
  <c r="H534" i="3" s="1"/>
  <c r="G129" i="3"/>
  <c r="H129" i="3" s="1"/>
  <c r="G291" i="3"/>
  <c r="H291" i="3" s="1"/>
  <c r="G56" i="3"/>
  <c r="H56" i="3" s="1"/>
  <c r="G174" i="3"/>
  <c r="H174" i="3" s="1"/>
  <c r="G100" i="3"/>
  <c r="H100" i="3" s="1"/>
  <c r="G156" i="3"/>
  <c r="H156" i="3" s="1"/>
  <c r="G188" i="3"/>
  <c r="H188" i="3" s="1"/>
  <c r="G524" i="3"/>
  <c r="H524" i="3" s="1"/>
  <c r="G476" i="3"/>
  <c r="H476" i="3" s="1"/>
  <c r="G344" i="3"/>
  <c r="H344" i="3" s="1"/>
  <c r="G425" i="3"/>
  <c r="H425" i="3" s="1"/>
  <c r="G219" i="3"/>
  <c r="H219" i="3" s="1"/>
  <c r="G45" i="3"/>
  <c r="H45" i="3" s="1"/>
  <c r="G139" i="3"/>
  <c r="H139" i="3" s="1"/>
  <c r="G246" i="3"/>
  <c r="H246" i="3" s="1"/>
  <c r="G125" i="3"/>
  <c r="H125" i="3" s="1"/>
  <c r="G377" i="3"/>
  <c r="H377" i="3" s="1"/>
  <c r="G42" i="3"/>
  <c r="H42" i="3" s="1"/>
  <c r="G335" i="3"/>
  <c r="H335" i="3" s="1"/>
  <c r="G103" i="3"/>
  <c r="H103" i="3" s="1"/>
  <c r="G354" i="3"/>
  <c r="H354" i="3" s="1"/>
  <c r="G57" i="3"/>
  <c r="H57" i="3" s="1"/>
  <c r="G294" i="3"/>
  <c r="H294" i="3" s="1"/>
  <c r="G86" i="3"/>
  <c r="H86" i="3" s="1"/>
  <c r="G702" i="3"/>
  <c r="H702" i="3" s="1"/>
  <c r="G745" i="3"/>
  <c r="H745" i="3" s="1"/>
  <c r="G744" i="3"/>
  <c r="H744" i="3" s="1"/>
  <c r="G483" i="3"/>
  <c r="H483" i="3" s="1"/>
  <c r="G367" i="3"/>
  <c r="H367" i="3" s="1"/>
  <c r="G79" i="3"/>
  <c r="H79" i="3" s="1"/>
  <c r="G398" i="3"/>
  <c r="H398" i="3" s="1"/>
  <c r="G466" i="3"/>
  <c r="H466" i="3" s="1"/>
  <c r="G298" i="3"/>
  <c r="H298" i="3" s="1"/>
  <c r="G414" i="3"/>
  <c r="H414" i="3" s="1"/>
  <c r="G123" i="3"/>
  <c r="H123" i="3" s="1"/>
  <c r="G226" i="3"/>
  <c r="H226" i="3" s="1"/>
  <c r="G220" i="3"/>
  <c r="H220" i="3" s="1"/>
  <c r="G539" i="3"/>
  <c r="H539" i="3" s="1"/>
  <c r="G332" i="3"/>
  <c r="H332" i="3" s="1"/>
  <c r="G376" i="3"/>
  <c r="H376" i="3" s="1"/>
  <c r="G433" i="3"/>
  <c r="H433" i="3" s="1"/>
  <c r="G326" i="3"/>
  <c r="H326" i="3" s="1"/>
  <c r="G104" i="3"/>
  <c r="H104" i="3" s="1"/>
  <c r="G229" i="3"/>
  <c r="H229" i="3" s="1"/>
  <c r="G279" i="3"/>
  <c r="H279" i="3" s="1"/>
  <c r="G530" i="3"/>
  <c r="H530" i="3" s="1"/>
  <c r="G491" i="3"/>
  <c r="H491" i="3" s="1"/>
  <c r="G295" i="3"/>
  <c r="H295" i="3" s="1"/>
  <c r="G314" i="3"/>
  <c r="H314" i="3" s="1"/>
  <c r="G172" i="3"/>
  <c r="H172" i="3" s="1"/>
  <c r="G55" i="3"/>
  <c r="H55" i="3" s="1"/>
  <c r="G158" i="3"/>
  <c r="H158" i="3" s="1"/>
  <c r="G170" i="3"/>
  <c r="H170" i="3" s="1"/>
  <c r="G667" i="3"/>
  <c r="H667" i="3" s="1"/>
  <c r="G654" i="3"/>
  <c r="H654" i="3" s="1"/>
  <c r="G527" i="3"/>
  <c r="H527" i="3" s="1"/>
  <c r="G352" i="3"/>
  <c r="H352" i="3" s="1"/>
  <c r="G509" i="3"/>
  <c r="H509" i="3" s="1"/>
  <c r="G465" i="3"/>
  <c r="H465" i="3" s="1"/>
  <c r="G331" i="3"/>
  <c r="H331" i="3" s="1"/>
  <c r="G17" i="3"/>
  <c r="H17" i="3" s="1"/>
  <c r="G81" i="3"/>
  <c r="H81" i="3" s="1"/>
  <c r="G5" i="3"/>
  <c r="H5" i="3" s="1"/>
  <c r="G66" i="3"/>
  <c r="H66" i="3" s="1"/>
  <c r="G108" i="3"/>
  <c r="H108" i="3" s="1"/>
  <c r="G490" i="3"/>
  <c r="H490" i="3" s="1"/>
  <c r="G163" i="3"/>
  <c r="H163" i="3" s="1"/>
  <c r="G315" i="3"/>
  <c r="H315" i="3" s="1"/>
  <c r="G233" i="3"/>
  <c r="H233" i="3" s="1"/>
  <c r="G431" i="3"/>
  <c r="H431" i="3" s="1"/>
  <c r="G461" i="3"/>
  <c r="H461" i="3" s="1"/>
  <c r="G205" i="3"/>
  <c r="H205" i="3" s="1"/>
  <c r="G97" i="3"/>
  <c r="H97" i="3" s="1"/>
  <c r="G391" i="3"/>
  <c r="H391" i="3" s="1"/>
  <c r="G177" i="3"/>
  <c r="H177" i="3" s="1"/>
  <c r="G404" i="3"/>
  <c r="H404" i="3" s="1"/>
  <c r="G133" i="3"/>
  <c r="H133" i="3" s="1"/>
  <c r="G375" i="3"/>
  <c r="H375" i="3" s="1"/>
  <c r="G412" i="3"/>
  <c r="H412" i="3" s="1"/>
  <c r="G273" i="3"/>
  <c r="H273" i="3" s="1"/>
  <c r="G68" i="3"/>
  <c r="H68" i="3" s="1"/>
  <c r="G396" i="3"/>
  <c r="H396" i="3" s="1"/>
  <c r="G96" i="3"/>
  <c r="H96" i="3" s="1"/>
  <c r="G52" i="3"/>
  <c r="H52" i="3" s="1"/>
  <c r="G77" i="3"/>
  <c r="H77" i="3" s="1"/>
  <c r="G557" i="3"/>
  <c r="H557" i="3" s="1"/>
  <c r="G682" i="3"/>
  <c r="H682" i="3" s="1"/>
  <c r="G737" i="3"/>
  <c r="H737" i="3" s="1"/>
  <c r="G723" i="3"/>
  <c r="H723" i="3" s="1"/>
  <c r="G94" i="3"/>
  <c r="H94" i="3" s="1"/>
  <c r="G668" i="3"/>
  <c r="H668" i="3" s="1"/>
  <c r="G691" i="3"/>
  <c r="H691" i="3" s="1"/>
  <c r="G645" i="3"/>
  <c r="H645" i="3" s="1"/>
  <c r="G516" i="3"/>
  <c r="H516" i="3" s="1"/>
  <c r="G253" i="3"/>
  <c r="H253" i="3" s="1"/>
  <c r="G644" i="3"/>
  <c r="H644" i="3" s="1"/>
  <c r="G693" i="3"/>
  <c r="H693" i="3" s="1"/>
  <c r="G523" i="3"/>
  <c r="H523" i="3" s="1"/>
  <c r="G660" i="3"/>
  <c r="H660" i="3" s="1"/>
  <c r="G674" i="3"/>
  <c r="H674" i="3" s="1"/>
  <c r="G395" i="3"/>
  <c r="H395" i="3" s="1"/>
  <c r="G27" i="3"/>
  <c r="H27" i="3" s="1"/>
  <c r="G505" i="3"/>
  <c r="H505" i="3" s="1"/>
  <c r="G639" i="3"/>
  <c r="H639" i="3" s="1"/>
  <c r="G411" i="3"/>
  <c r="H411" i="3" s="1"/>
  <c r="G379" i="3"/>
  <c r="H379" i="3" s="1"/>
  <c r="G245" i="3"/>
  <c r="H245" i="3" s="1"/>
  <c r="G455" i="3"/>
  <c r="H455" i="3" s="1"/>
  <c r="G151" i="3"/>
  <c r="H151" i="3" s="1"/>
  <c r="G296" i="3"/>
  <c r="H296" i="3" s="1"/>
  <c r="G149" i="3"/>
  <c r="H149" i="3" s="1"/>
  <c r="G421" i="3"/>
  <c r="H421" i="3" s="1"/>
  <c r="G70" i="3"/>
  <c r="H70" i="3" s="1"/>
  <c r="G306" i="3"/>
  <c r="H306" i="3" s="1"/>
  <c r="G121" i="3"/>
  <c r="H121" i="3" s="1"/>
  <c r="G383" i="3"/>
  <c r="H383" i="3" s="1"/>
  <c r="G21" i="3"/>
  <c r="H21" i="3" s="1"/>
  <c r="G747" i="3"/>
  <c r="H747" i="3" s="1"/>
  <c r="G580" i="3"/>
  <c r="H580" i="3" s="1"/>
  <c r="G533" i="3"/>
  <c r="H533" i="3" s="1"/>
  <c r="G179" i="3"/>
  <c r="H179" i="3" s="1"/>
  <c r="G187" i="3"/>
  <c r="H187" i="3" s="1"/>
  <c r="G680" i="3"/>
  <c r="H680" i="3" s="1"/>
  <c r="G594" i="3"/>
  <c r="H594" i="3" s="1"/>
  <c r="G551" i="3"/>
  <c r="H551" i="3" s="1"/>
  <c r="G355" i="3"/>
  <c r="H355" i="3" s="1"/>
  <c r="G132" i="3"/>
  <c r="H132" i="3" s="1"/>
  <c r="G612" i="3"/>
  <c r="H612" i="3" s="1"/>
  <c r="G500" i="3"/>
  <c r="H500" i="3" s="1"/>
  <c r="G649" i="3"/>
  <c r="H649" i="3" s="1"/>
  <c r="G652" i="3"/>
  <c r="H652" i="3" s="1"/>
  <c r="G64" i="3"/>
  <c r="H64" i="3" s="1"/>
  <c r="G3" i="3"/>
  <c r="H3" i="3" s="1"/>
  <c r="G592" i="3"/>
  <c r="H592" i="3" s="1"/>
  <c r="G730" i="3"/>
  <c r="H730" i="3" s="1"/>
  <c r="G506" i="3"/>
  <c r="H506" i="3" s="1"/>
  <c r="G284" i="3"/>
  <c r="H284" i="3" s="1"/>
  <c r="G468" i="3"/>
  <c r="H468" i="3" s="1"/>
  <c r="G420" i="3"/>
  <c r="H420" i="3" s="1"/>
  <c r="G228" i="3"/>
  <c r="H228" i="3" s="1"/>
  <c r="G548" i="3"/>
  <c r="H548" i="3" s="1"/>
  <c r="G440" i="3"/>
  <c r="H440" i="3" s="1"/>
  <c r="G417" i="3"/>
  <c r="H417" i="3" s="1"/>
  <c r="G230" i="3"/>
  <c r="H230" i="3" s="1"/>
  <c r="G538" i="3"/>
  <c r="H538" i="3" s="1"/>
  <c r="G165" i="3"/>
  <c r="H165" i="3" s="1"/>
  <c r="G353" i="3"/>
  <c r="H353" i="3" s="1"/>
  <c r="G258" i="3"/>
  <c r="H258" i="3" s="1"/>
  <c r="G432" i="3"/>
  <c r="H432" i="3" s="1"/>
  <c r="G197" i="3"/>
  <c r="H197" i="3" s="1"/>
  <c r="G128" i="3"/>
  <c r="H128" i="3" s="1"/>
  <c r="G638" i="3"/>
  <c r="H638" i="3" s="1"/>
  <c r="G685" i="3"/>
  <c r="H685" i="3" s="1"/>
  <c r="G670" i="3"/>
  <c r="H670" i="3" s="1"/>
  <c r="G542" i="3"/>
  <c r="H542" i="3" s="1"/>
  <c r="G453" i="3"/>
  <c r="H453" i="3" s="1"/>
  <c r="G36" i="3"/>
  <c r="H36" i="3" s="1"/>
  <c r="G472" i="3"/>
  <c r="H472" i="3" s="1"/>
  <c r="G439" i="3"/>
  <c r="H439" i="3" s="1"/>
  <c r="G358" i="3"/>
  <c r="H358" i="3" s="1"/>
  <c r="G218" i="3"/>
  <c r="H218" i="3" s="1"/>
  <c r="G25" i="3"/>
  <c r="H25" i="3" s="1"/>
  <c r="G144" i="3"/>
  <c r="H144" i="3" s="1"/>
  <c r="G118" i="3"/>
  <c r="H118" i="3" s="1"/>
  <c r="G501" i="3"/>
  <c r="H501" i="3" s="1"/>
  <c r="G444" i="3"/>
  <c r="H444" i="3" s="1"/>
  <c r="G328" i="3"/>
  <c r="H328" i="3" s="1"/>
  <c r="G266" i="3"/>
  <c r="H266" i="3" s="1"/>
  <c r="G457" i="3"/>
  <c r="H457" i="3" s="1"/>
  <c r="G462" i="3"/>
  <c r="H462" i="3" s="1"/>
  <c r="G69" i="3"/>
  <c r="H69" i="3" s="1"/>
  <c r="G117" i="3"/>
  <c r="H117" i="3" s="1"/>
  <c r="G485" i="3"/>
  <c r="H485" i="3" s="1"/>
  <c r="G371" i="3"/>
  <c r="H371" i="3" s="1"/>
  <c r="G11" i="3"/>
  <c r="H11" i="3" s="1"/>
  <c r="G211" i="3"/>
  <c r="H211" i="3" s="1"/>
  <c r="G427" i="3"/>
  <c r="H427" i="3" s="1"/>
  <c r="G407" i="3"/>
  <c r="H407" i="3" s="1"/>
  <c r="G204" i="3"/>
  <c r="H204" i="3" s="1"/>
  <c r="G74" i="3"/>
  <c r="H74" i="3" s="1"/>
  <c r="G598" i="3"/>
  <c r="H598" i="3" s="1"/>
  <c r="G589" i="3"/>
  <c r="H589" i="3" s="1"/>
  <c r="G459" i="3"/>
  <c r="H459" i="3" s="1"/>
  <c r="G106" i="3"/>
  <c r="H106" i="3" s="1"/>
  <c r="G313" i="3"/>
  <c r="H313" i="3" s="1"/>
  <c r="G340" i="3"/>
  <c r="H340" i="3" s="1"/>
  <c r="G487" i="3"/>
  <c r="H487" i="3" s="1"/>
  <c r="G114" i="3"/>
  <c r="H114" i="3" s="1"/>
  <c r="G259" i="3"/>
  <c r="H259" i="3" s="1"/>
  <c r="G361" i="3"/>
  <c r="H361" i="3" s="1"/>
  <c r="G286" i="3"/>
  <c r="H286" i="3" s="1"/>
  <c r="G34" i="3"/>
  <c r="H34" i="3" s="1"/>
  <c r="G578" i="3"/>
  <c r="H578" i="3" s="1"/>
  <c r="G329" i="3"/>
  <c r="H329" i="3" s="1"/>
  <c r="G87" i="3"/>
  <c r="H87" i="3" s="1"/>
  <c r="G95" i="3"/>
  <c r="H95" i="3" s="1"/>
  <c r="G210" i="3"/>
  <c r="H210" i="3" s="1"/>
  <c r="G222" i="3"/>
  <c r="H222" i="3" s="1"/>
  <c r="G206" i="3"/>
  <c r="H206" i="3" s="1"/>
  <c r="G47" i="3"/>
  <c r="H47" i="3" s="1"/>
  <c r="G574" i="3"/>
  <c r="H574" i="3" s="1"/>
  <c r="G387" i="3"/>
  <c r="H387" i="3" s="1"/>
  <c r="G399" i="3"/>
  <c r="H399" i="3" s="1"/>
  <c r="G51" i="3"/>
  <c r="H51" i="3" s="1"/>
  <c r="G102" i="3"/>
  <c r="H102" i="3" s="1"/>
  <c r="G278" i="3"/>
  <c r="H278" i="3" s="1"/>
  <c r="G150" i="3"/>
  <c r="H150" i="3" s="1"/>
  <c r="G13" i="3"/>
  <c r="H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<sst xmlns="http://schemas.openxmlformats.org/spreadsheetml/2006/main" count="6185" uniqueCount="572">
  <si>
    <t>year</t>
  </si>
  <si>
    <t>university</t>
  </si>
  <si>
    <t>school</t>
  </si>
  <si>
    <t>degree</t>
  </si>
  <si>
    <t>employment_rate_overall</t>
  </si>
  <si>
    <t>employment_rate_ft_perm</t>
  </si>
  <si>
    <t>basic_monthly_mean</t>
  </si>
  <si>
    <t>basic_monthly_median</t>
  </si>
  <si>
    <t>gross_monthly_mean</t>
  </si>
  <si>
    <t>gross_monthly_median</t>
  </si>
  <si>
    <t>gross_mthly_25_percentile</t>
  </si>
  <si>
    <t>gross_mthly_75_percentile</t>
  </si>
  <si>
    <t>Nanyang Technological University</t>
  </si>
  <si>
    <t>College of Business (Nanyang Business School)</t>
  </si>
  <si>
    <t>Accountancy and Business</t>
  </si>
  <si>
    <t>Accountancy (3-yr direct Honours Programme)</t>
  </si>
  <si>
    <t>Business (3-yr direct Honours Programme)</t>
  </si>
  <si>
    <t>Business and Computing</t>
  </si>
  <si>
    <t>College of Engineering</t>
  </si>
  <si>
    <t>Aerospace Engineering</t>
  </si>
  <si>
    <t>Bioengineering</t>
  </si>
  <si>
    <t>Chemical and Biomolecular Engineering</t>
  </si>
  <si>
    <t>Computer Engineering</t>
  </si>
  <si>
    <t>Civil Engineering</t>
  </si>
  <si>
    <t>Computer Science</t>
  </si>
  <si>
    <t>Electrical and Electronic Engineering</t>
  </si>
  <si>
    <t>Environmental Engineering</t>
  </si>
  <si>
    <t>Information Engineering and Media</t>
  </si>
  <si>
    <t>Materials Engineering</t>
  </si>
  <si>
    <t>Mechanical Engineering</t>
  </si>
  <si>
    <t>Maritime Studies</t>
  </si>
  <si>
    <t>College of Humanities, Arts &amp; Social Sciences</t>
  </si>
  <si>
    <t>Art, Design &amp; Media</t>
  </si>
  <si>
    <t>Chinese</t>
  </si>
  <si>
    <t>Communication Studies</t>
  </si>
  <si>
    <t>Economics</t>
  </si>
  <si>
    <t>English</t>
  </si>
  <si>
    <t>Linguistics and Multilingual Studies</t>
  </si>
  <si>
    <t>Psychology</t>
  </si>
  <si>
    <t>Sociology</t>
  </si>
  <si>
    <t>College of Sciences</t>
  </si>
  <si>
    <t>Biomedical Sciences **</t>
  </si>
  <si>
    <t>na</t>
  </si>
  <si>
    <t>Biomedical Sciences (Traditional Chinese Medicine) #</t>
  </si>
  <si>
    <t>Biological Sciences</t>
  </si>
  <si>
    <t>Chemistry &amp; Biological Chemistry</t>
  </si>
  <si>
    <t>Mathematics &amp; Economics **</t>
  </si>
  <si>
    <t>Mathematical Science</t>
  </si>
  <si>
    <t>Physics / Applied Physics</t>
  </si>
  <si>
    <t>Sports Science and Management</t>
  </si>
  <si>
    <t>National Institute of Education (NIE)</t>
  </si>
  <si>
    <t>Science (with Education)</t>
  </si>
  <si>
    <t>Arts (with Education)</t>
  </si>
  <si>
    <t>National University of Singapore</t>
  </si>
  <si>
    <t>Faculty of Arts &amp; Social Sciences</t>
  </si>
  <si>
    <t>Bachelor of Arts</t>
  </si>
  <si>
    <t>Bachelor of Arts (Hons)</t>
  </si>
  <si>
    <t>Bachelor of Social Sciences</t>
  </si>
  <si>
    <t>NUS Business School</t>
  </si>
  <si>
    <t>Bachelor of Business Administration</t>
  </si>
  <si>
    <t>Bachelor of Business Administration (Hons)</t>
  </si>
  <si>
    <t>Bachelor of Business Administration (Accountancy)</t>
  </si>
  <si>
    <t>Bachelor of Business Administration (Accountancy) (Hons)</t>
  </si>
  <si>
    <t>School of Computing</t>
  </si>
  <si>
    <t>Bachelor of Computing (Communications and Media)</t>
  </si>
  <si>
    <t>Bachelor of Computing (Computational Biology) **</t>
  </si>
  <si>
    <t>Bachelor of Computing (Computer Engineering) **</t>
  </si>
  <si>
    <t>Bachelor of Computing (Computer Science)</t>
  </si>
  <si>
    <t>Bachelor of Computing (Electronic Commerce)</t>
  </si>
  <si>
    <t>Bachelor of Computing (Information Systems)</t>
  </si>
  <si>
    <t>Faculty of Dentistry</t>
  </si>
  <si>
    <t>Bachelor of Dental Surgery</t>
  </si>
  <si>
    <t>School of Design &amp; Environment</t>
  </si>
  <si>
    <t>Bachelor of Arts (Architecture) ** #</t>
  </si>
  <si>
    <t>Bachelor of Arts (Industrial Design)</t>
  </si>
  <si>
    <t>Bachelor of Science (Project and Facilities Management)</t>
  </si>
  <si>
    <t>Bachelor of Science (Real Estate)</t>
  </si>
  <si>
    <t>Faculty of Engineering</t>
  </si>
  <si>
    <t>Bachelor of Engineering (Bioengineering)</t>
  </si>
  <si>
    <t>Bachelor of Engineering (Chemical Engineering)</t>
  </si>
  <si>
    <t>Bachelor of Engineering (Civil Engineering)</t>
  </si>
  <si>
    <t>Bachelor of Engineering (Computer Engineering)</t>
  </si>
  <si>
    <t>Bachelor of Engineering (Electrical Engineering)</t>
  </si>
  <si>
    <t>Bachelor of Engineering (Engineering Science)</t>
  </si>
  <si>
    <t>Bachelor of Engineering (Environmental Engineering)</t>
  </si>
  <si>
    <t>Bachelor of Engineering (Industrial and Systems Engineering)</t>
  </si>
  <si>
    <t>Bachelor of Engineering (Materials Science and Engineering)</t>
  </si>
  <si>
    <t>Bachelor of Engineering (Mechanical Engineering)</t>
  </si>
  <si>
    <t>Faculty of Law</t>
  </si>
  <si>
    <t>Bachelor of Laws (LLB) (Hons) #</t>
  </si>
  <si>
    <t>YLL School of Medicine</t>
  </si>
  <si>
    <t>Bachelor of Medicine and Bachelor of Surgery (MBBS) #</t>
  </si>
  <si>
    <t>Bachelor of Science (Nursing)</t>
  </si>
  <si>
    <t>Bachelor of Science (Nursing) (Hons)</t>
  </si>
  <si>
    <t>Yong Siew Toh Conservatory of Music</t>
  </si>
  <si>
    <t>Bachelor of Music **</t>
  </si>
  <si>
    <t>Faculty of Science</t>
  </si>
  <si>
    <t>Bachelor of Applied Science **</t>
  </si>
  <si>
    <t>Bachelor of Applied Science (Hons)</t>
  </si>
  <si>
    <t>Bachelor of Science</t>
  </si>
  <si>
    <t>Bachelor of Science (Hons)</t>
  </si>
  <si>
    <t>Bachelor of Science (Computational Biology) **</t>
  </si>
  <si>
    <t>Bachelor of Science (Pharmacy) (Hons) #</t>
  </si>
  <si>
    <t>Singapore Management University</t>
  </si>
  <si>
    <t>School of Accountancy (4-years programme) *</t>
  </si>
  <si>
    <t>Accountancy (4-years programme)</t>
  </si>
  <si>
    <t>Accountancy (4-years programme) Cum Laude and above</t>
  </si>
  <si>
    <t>School of Business (4-years programme) *</t>
  </si>
  <si>
    <t>Business Management (4-years programme)</t>
  </si>
  <si>
    <t>Business Management (4-years programme) Cum Laude and above</t>
  </si>
  <si>
    <t>School of Economics (4-years programme) *</t>
  </si>
  <si>
    <t>Economics (4-years programme)</t>
  </si>
  <si>
    <t>Economics (4-years programme) Cum Laude and above</t>
  </si>
  <si>
    <t>School of Information Systems (4-years programme) *</t>
  </si>
  <si>
    <t>Information Systems Management (4-years programme)</t>
  </si>
  <si>
    <t>Information Systems Management (4-years programme) Cum Laude and above</t>
  </si>
  <si>
    <t>School of Social Sciences (4-years programme) *</t>
  </si>
  <si>
    <t>Social Sciences (4-years programme)</t>
  </si>
  <si>
    <t>Social Sciences (4-years programme) Cum Laude and above</t>
  </si>
  <si>
    <t>School of Law (4-years programme) *</t>
  </si>
  <si>
    <t>Law (4-years programme) #</t>
  </si>
  <si>
    <t>Law (4-years programme) Cum Laude and above #</t>
  </si>
  <si>
    <t>Biomedical Science **</t>
  </si>
  <si>
    <t>Biomedical Science (Traditional Chinese Medicine) #</t>
  </si>
  <si>
    <t>Mathematics &amp; Economics</t>
  </si>
  <si>
    <t>Bachelor of Arts (Architecture) #</t>
  </si>
  <si>
    <t>Bachelor of Engineering (Biomedical Engineering) ^^</t>
  </si>
  <si>
    <t>Bachelor of Medicine and Bachelor of Surgery #</t>
  </si>
  <si>
    <t>School of Accountancy (4-year programme) *</t>
  </si>
  <si>
    <t>Accountancy (4-year programme)</t>
  </si>
  <si>
    <t>Accountancy (4-year programme) Cum Laude and above</t>
  </si>
  <si>
    <t>School of Business (4-year programme) *</t>
  </si>
  <si>
    <t>Business Management (4-year programme)</t>
  </si>
  <si>
    <t>Business Management (4-year programme) Cum Laude and above</t>
  </si>
  <si>
    <t>School of Economics (4-year programme) *</t>
  </si>
  <si>
    <t>Economics (4-year programme)</t>
  </si>
  <si>
    <t>Economics (4-year programme) Cum Laude and above</t>
  </si>
  <si>
    <t>School of Information Systems (4-year programme) *</t>
  </si>
  <si>
    <t>Information Systems Management (4-year programme)</t>
  </si>
  <si>
    <t>Information Systems Management (4-year programme) Cum Laude and above</t>
  </si>
  <si>
    <t>School of Social Sciences (4-year programme) *</t>
  </si>
  <si>
    <t>Social Sciences (4-year programme)</t>
  </si>
  <si>
    <t>Social Sciences (4-year programme) Cum Laude and above</t>
  </si>
  <si>
    <t>School of Law (4-year programme) *</t>
  </si>
  <si>
    <t>Law (4-year programme) #</t>
  </si>
  <si>
    <t>Law (4-year programme) Cum Laude and above #</t>
  </si>
  <si>
    <t>Singapore Institute of Technology</t>
  </si>
  <si>
    <t>DigiPen Institute of Technology</t>
  </si>
  <si>
    <t>Bachelor of Arts in Game Design</t>
  </si>
  <si>
    <t>Bachelor of Fine Arts in Digital Arts &amp; Animation</t>
  </si>
  <si>
    <t>Bachelor of Science in Computer Science &amp; Game Design</t>
  </si>
  <si>
    <t>Bachelor of Science in Computer Science in Real-Time Interactive Simulation</t>
  </si>
  <si>
    <t>The Glasgow School of Art</t>
  </si>
  <si>
    <t>Bachelor of Arts with Honours in Communication Design</t>
  </si>
  <si>
    <t>Bachelor of Arts with Honours in Interior Design</t>
  </si>
  <si>
    <t>Newcastle University</t>
  </si>
  <si>
    <t>Bachelor of Engineering with Honours in Chemical Engineering</t>
  </si>
  <si>
    <t>Bachelor of Engineering with Honours in Marine Engineering</t>
  </si>
  <si>
    <t>Bachelor of Engineering with Honours in Mechanical Design &amp; Manufacturing Engineering</t>
  </si>
  <si>
    <t>Bachelor of Engineering with Honours in Naval Architecture</t>
  </si>
  <si>
    <t>Bachelor of Engineering with Honours in Offshore Engineering</t>
  </si>
  <si>
    <t>Bachelor of Science with Honours in Food &amp; Human Nutrition</t>
  </si>
  <si>
    <t>Technische Universität München</t>
  </si>
  <si>
    <t>Bachelor of Science in Chemical Engineering</t>
  </si>
  <si>
    <t>Bachelor of Science in Electrical Engineering &amp; Information Technology</t>
  </si>
  <si>
    <t>The Culinary Institute of America</t>
  </si>
  <si>
    <t>Bachelor of Professional Studies in Culinary Arts Management</t>
  </si>
  <si>
    <t>Trinity College Dublin</t>
  </si>
  <si>
    <t>Bachelor in Science (Occupational Therapy)</t>
  </si>
  <si>
    <t>Bachelor in Science (Physiotherapy)</t>
  </si>
  <si>
    <t>University of Glasgow</t>
  </si>
  <si>
    <t>Bachelor of Engineering with Honours in Aeronautical Engineering</t>
  </si>
  <si>
    <t>Bachelor of Engineering with Honours in Aerospace Systems</t>
  </si>
  <si>
    <t>Bachelor of Engineering with Honours in Mechanical Design Engineering</t>
  </si>
  <si>
    <t>Bachelor of Engineering with Honours in Mechatronics</t>
  </si>
  <si>
    <t>University of Manchester</t>
  </si>
  <si>
    <t>Bachelor of Science with Honours in Nursing Practice</t>
  </si>
  <si>
    <t>University of Nevada, Las Vegas</t>
  </si>
  <si>
    <t>Bachelor of Science (Major in Hospitality Management)</t>
  </si>
  <si>
    <t>Wheelock College</t>
  </si>
  <si>
    <t>Bachelor of Science in Early Childhood Education</t>
  </si>
  <si>
    <t>Aerospace Engineering and Economics **</t>
  </si>
  <si>
    <t>Business and Computer Engineering **</t>
  </si>
  <si>
    <t>Chemical And Biomolecular Engineering</t>
  </si>
  <si>
    <t>Chemical And Biomolecular Engineering and Economics **</t>
  </si>
  <si>
    <t>Electrical And Electronic Engineering</t>
  </si>
  <si>
    <t>Environmental Engineering and Economics **</t>
  </si>
  <si>
    <t>Information Engineering And Media</t>
  </si>
  <si>
    <t>Information Engineering And Media and Economics **</t>
  </si>
  <si>
    <t>Mechanical Engineering and Economics **</t>
  </si>
  <si>
    <t>Linguistics And Multilingual Studies</t>
  </si>
  <si>
    <t>Bachelor of Engineering (Biomedical Engineering)</t>
  </si>
  <si>
    <t>Bachelor of Laws (L.L.B) (Hons) #</t>
  </si>
  <si>
    <t>Bachelor of Music</t>
  </si>
  <si>
    <t>Multidisciplinary Program</t>
  </si>
  <si>
    <t>Bachelor of Environmental Studies</t>
  </si>
  <si>
    <t>Accountancy</t>
  </si>
  <si>
    <t>Accountancy Cum Laude and above</t>
  </si>
  <si>
    <t>Business Management</t>
  </si>
  <si>
    <t>Business Management Cum Laude and above</t>
  </si>
  <si>
    <t>Economics Cum Laude and above</t>
  </si>
  <si>
    <t>Information Systems Management</t>
  </si>
  <si>
    <t>Information Systems Management Cum Laude and above</t>
  </si>
  <si>
    <t>Social Sciences</t>
  </si>
  <si>
    <t>Social Sciences Cum Laude and above</t>
  </si>
  <si>
    <t>Law #</t>
  </si>
  <si>
    <t>Law Cum Laude and above #</t>
  </si>
  <si>
    <t>Singapore University of Technology and Design</t>
  </si>
  <si>
    <t>Bachelor of Engineering (Engineering Product Development)</t>
  </si>
  <si>
    <t>Bachelor of Engineering (Engineering Systems and Design)</t>
  </si>
  <si>
    <t>Bachelor of Engineering (Information Systems Technology and Design)</t>
  </si>
  <si>
    <t>Bachelor of Science (Architecture and Sustainable Design) ###</t>
  </si>
  <si>
    <t>Bachelor of Arts in Game Design **</t>
  </si>
  <si>
    <t>Bachelor of Science in Computer Science &amp; Game Design **</t>
  </si>
  <si>
    <t>Bachelor of Engineering with Honours in Electrical Power Engineering</t>
  </si>
  <si>
    <t>Singapore Institute of Technology -Trinity College Dublin</t>
  </si>
  <si>
    <t>Bachelor in Science (Diagnostic Radiography)</t>
  </si>
  <si>
    <t>Bachelor in Science (Radiation Therapy) **</t>
  </si>
  <si>
    <t>Bachelor of Science with Honours in Computing Science</t>
  </si>
  <si>
    <t>Business</t>
  </si>
  <si>
    <t>Materials Engineering and Economics **</t>
  </si>
  <si>
    <t>History</t>
  </si>
  <si>
    <t>Public Policy And Global Affairs **</t>
  </si>
  <si>
    <t>Biomedical Sciences &amp; Chinese Medicine #</t>
  </si>
  <si>
    <t>Mathematical Sciences</t>
  </si>
  <si>
    <t>Faculty Of Dentistry</t>
  </si>
  <si>
    <t>Faculty Of Engineering</t>
  </si>
  <si>
    <t>Bachelor of Engineering (Materials Science And Engineering)</t>
  </si>
  <si>
    <t>Bachelor of Science (Pharmacy)(Hons) #</t>
  </si>
  <si>
    <t>Bachelor of Computing (Communications And Media) **</t>
  </si>
  <si>
    <t>Bachelor of Computing (Electronic Commerce) **</t>
  </si>
  <si>
    <t>School of Design and Environment</t>
  </si>
  <si>
    <t>Yong Loo Lin School (Medicine)</t>
  </si>
  <si>
    <t>Bachelor of Medicine and Bachelor Of Surgery #</t>
  </si>
  <si>
    <t>Multidisciplinary Programme</t>
  </si>
  <si>
    <t>Trinity College Dublin / Singapore Institute of Technology-Trinity College Dublin</t>
  </si>
  <si>
    <t>University of Liverpool</t>
  </si>
  <si>
    <t>Bachelor of Arts with Honours in Criminology and Security</t>
  </si>
  <si>
    <t>Bachelor of Science (Architecture and Sustainable Design) #</t>
  </si>
  <si>
    <t>Bachelor of Accountancy (Hons)</t>
  </si>
  <si>
    <t>Double Degree in Bachelor of Accountancy (Hons) and Bachelor of Business (Hons)</t>
  </si>
  <si>
    <t>Bachelor of Business (Hons)</t>
  </si>
  <si>
    <t>Double Degree in Bachelor of Business (Hons) and Bachelor of Engineering (Hons) (Computer Science)</t>
  </si>
  <si>
    <t>Bachelor of Engineering (Hons) (Aerospace Engineering)</t>
  </si>
  <si>
    <t>Double Degree in Bachelor of Engineering (Hons) (Aerospace Engineering) and Bachelor of Arts (Hons) in Economics **</t>
  </si>
  <si>
    <t>Bachelor of Engineering (Hons) (Bioengineering)</t>
  </si>
  <si>
    <t>Bachelor of Engineering  (Hons) (Chemical And Biomolecular Engineering)</t>
  </si>
  <si>
    <t>Double Degree in Bachelor of Engineering  (Hons) (Chemical And Biomolecular Engineering) and Bachelor of Arts (Hons) in Economics **</t>
  </si>
  <si>
    <t>Bachelor of Engineering (Hons) (Civil Engineering)</t>
  </si>
  <si>
    <t>Double Degree in Bachelor of Engineering (Hons) (Civil Engineering) and Bachelor of Arts (Hons) in Economics **</t>
  </si>
  <si>
    <t>Bachelor of Engineering (Hons) (Computer Engineering)</t>
  </si>
  <si>
    <t>Bachelor of Engineering (Hons) (Computer Science)</t>
  </si>
  <si>
    <t>Double Degree in Bachelor of Business (Hons) and Bachelor of Engineering (Hons) (Computer Engineering) **</t>
  </si>
  <si>
    <t>Bachelor of Engineering (Hons) (Electrical &amp; Electronic Engineering)</t>
  </si>
  <si>
    <t>Bachelor of Engineering (Hons) (Environmental Engineering)</t>
  </si>
  <si>
    <t>Bachelor of Engineering (Hons) (Information Engineering &amp; Media)</t>
  </si>
  <si>
    <t>Double Degree in Bachelor of Engineering (Hons) (Information Engineering &amp; Media) and Bachelor of Arts (Hons) in Economics **</t>
  </si>
  <si>
    <t>Bachelor of Science (Hons) (Maritime Studies)</t>
  </si>
  <si>
    <t>Bachelor of Engineering (Hons) (Materials Engineering)</t>
  </si>
  <si>
    <t>Double Degree in Bachelor of Engineering (Hons) (Materials Engineering) and Bachelor of Arts (Hons) in Economics **</t>
  </si>
  <si>
    <t>Bachelor of Engineering (Hons) (Mechanical Engineering)</t>
  </si>
  <si>
    <t>Double Degree in Bachelor of Engineering (Hons) (Mechanical Engineering) and Bachelor of Arts (Hons) in Economics **</t>
  </si>
  <si>
    <t>Bachelor of Fine Arts (Hons)</t>
  </si>
  <si>
    <t>Bachelor of Arts (Hons) in Chinese</t>
  </si>
  <si>
    <t>Bachelor of Communication Studies (Hons)</t>
  </si>
  <si>
    <t>Bachelor of Arts (Hons) in Economics</t>
  </si>
  <si>
    <t>Bachelor of Arts (Hons) in English</t>
  </si>
  <si>
    <t>Bachelor of Arts (Hons) in History</t>
  </si>
  <si>
    <t>Bachelor of Arts (Hons) in Linguistics And Multilingual Studies</t>
  </si>
  <si>
    <t>Bachelor of Arts (Hons) in Philosophy **</t>
  </si>
  <si>
    <t>Bachelor of Arts (Hons) in Psychology</t>
  </si>
  <si>
    <t>Bachelor of Arts (Hons) in Public Policy And Global Affairs</t>
  </si>
  <si>
    <t>Bachelor of Arts (Hons) in Sociology</t>
  </si>
  <si>
    <t>Double Degree in Bachelor of Science (Hons) in Biomedical Sciences and Bachelor of Medicine (Chinese Medicine) #</t>
  </si>
  <si>
    <t>Bachelor of Science (Hons) in Biological Sciences</t>
  </si>
  <si>
    <t>Bachelor of Science (Hons) in Chemistry &amp; Biological Chemistry</t>
  </si>
  <si>
    <t>Bachelor of Science (Hons) in Mathematical Sciences</t>
  </si>
  <si>
    <t>Bachelor of Science (Hons) in Mathematics &amp; Economics</t>
  </si>
  <si>
    <t>Bachelor of Science (Hons) in Physics/Applied Physics</t>
  </si>
  <si>
    <t>Sport Science and Management</t>
  </si>
  <si>
    <t>Bachelor of Science (Hons) (Sport Science &amp; Management)</t>
  </si>
  <si>
    <t>Bachelor of Arts (Hons) (Education)</t>
  </si>
  <si>
    <t>Bachelor of Science (Hons) (Education)</t>
  </si>
  <si>
    <t>Bachelor of Laws #</t>
  </si>
  <si>
    <t>Bachelor of Science (Pharmacy) #</t>
  </si>
  <si>
    <t>Bachelor of Computing (Information Security) **</t>
  </si>
  <si>
    <t>Bachelor of Science (Business Analytics)</t>
  </si>
  <si>
    <t>Bachelor of Medicine And Bachelor Of Surgery #</t>
  </si>
  <si>
    <t>YST Conservatory Of Music</t>
  </si>
  <si>
    <t>Yale-NUS College</t>
  </si>
  <si>
    <t>Bachelor of Arts with Honours</t>
  </si>
  <si>
    <t>Bachelor of Science with Honours</t>
  </si>
  <si>
    <t>Multi-Disciplinary Programme</t>
  </si>
  <si>
    <t>Bachelor of Arts in Game Design ^</t>
  </si>
  <si>
    <t>Bachelor of Fine Arts in Digital Arts &amp; Animation ^</t>
  </si>
  <si>
    <t>Bachelor of Science in Computer Science &amp; Game Design ^</t>
  </si>
  <si>
    <t>Bachelor of Engineering with Honours in Marine Engineering ^</t>
  </si>
  <si>
    <t>Bachelor of Engineering with Honours in Naval Architecture ^</t>
  </si>
  <si>
    <t>Bachelor of Engineering with Honours in Offshore Engineering ^</t>
  </si>
  <si>
    <t>Singapore Institute of Technology -Trinity College Dublin / Trinity College Dublin</t>
  </si>
  <si>
    <t>Bachelor in Science (Diagnostic Radiography) **</t>
  </si>
  <si>
    <t>Bachelor of Accountancy with Honours</t>
  </si>
  <si>
    <t>Bachelor of Hospitality Business with Honours ^</t>
  </si>
  <si>
    <t>Business and Computing ^</t>
  </si>
  <si>
    <t>Chemical &amp; Biomolecular Engineering</t>
  </si>
  <si>
    <t>Chemical &amp; Biomolecular Engineering and Economics **</t>
  </si>
  <si>
    <t>Computer Engineering and Economics **</t>
  </si>
  <si>
    <t>Electrical &amp; Electronic Engineering</t>
  </si>
  <si>
    <t>Information Engineering &amp; Media</t>
  </si>
  <si>
    <t>Linguistics &amp; Multilingual Studies</t>
  </si>
  <si>
    <t>Philosophy</t>
  </si>
  <si>
    <t>Public Policy and Global Affairs</t>
  </si>
  <si>
    <t>Biomedical Sciences &amp; Chinese Medicine # ^</t>
  </si>
  <si>
    <t>Environmental Earth Systems Science ^</t>
  </si>
  <si>
    <t>Physics &amp; Applied Physics</t>
  </si>
  <si>
    <t>Arts (With Education)</t>
  </si>
  <si>
    <t>Science (With Education)</t>
  </si>
  <si>
    <t>Lee Kong Chian School of Medicine</t>
  </si>
  <si>
    <t>Medicine ##</t>
  </si>
  <si>
    <t>Bachelor of Engineering (Engineering Science) **</t>
  </si>
  <si>
    <t>Bachelor of Business Administration (Accountancy) ^</t>
  </si>
  <si>
    <t>Bachelor of Computing (Communications and Media) **</t>
  </si>
  <si>
    <t>Bachelor of Arts (Architecture) # **</t>
  </si>
  <si>
    <t>Bachelor of Medicine and Bachelor of Surgery # **</t>
  </si>
  <si>
    <t>Bachelor of Science with Honours ^</t>
  </si>
  <si>
    <t>Multidisciplinary Programmes</t>
  </si>
  <si>
    <t>Bachelor of Fine Arts in Digital Art and Animation</t>
  </si>
  <si>
    <t>Bachelor of Science in Computer Science and Game Design ^</t>
  </si>
  <si>
    <t>Bachelor of Engineering with Honours in Mechanical Design and Manufacturing Engineering</t>
  </si>
  <si>
    <t>Bachelor of Science with Honours in Food and Human Nutrition</t>
  </si>
  <si>
    <t>Singapore Institute of Technology (SIT)</t>
  </si>
  <si>
    <t>Bachelor of Engineering with Honours in Information &amp; Communications Technology (Information Security) ^</t>
  </si>
  <si>
    <t>Bachelor of Engineering with Honours in Information &amp; Communications Technology (Software Engineering)</t>
  </si>
  <si>
    <t>Bachelor of Engineering with Honours in Sustainable Infrastructure Engineering (Land)</t>
  </si>
  <si>
    <t>Bachelor of Hospitality Business with Honours</t>
  </si>
  <si>
    <t>SIT-University of Glasgow</t>
  </si>
  <si>
    <t>Bachelor of Science with Honours in Nursing</t>
  </si>
  <si>
    <t>SIT-Trinity College Dublin / Trinity College Dublin</t>
  </si>
  <si>
    <t>Bachelor in Science (Diagnostic Radiography) ^</t>
  </si>
  <si>
    <t>Bachelor of Business Administration in Food Business Management</t>
  </si>
  <si>
    <t>Accountancy (Cum Laude and above)</t>
  </si>
  <si>
    <t>Business Management (Cum Laude and above)</t>
  </si>
  <si>
    <t>Economics (Cum Laude and above)</t>
  </si>
  <si>
    <t>Information Systems</t>
  </si>
  <si>
    <t>Information Systems (Cum Laude and above)</t>
  </si>
  <si>
    <t>Social Sciences (Cum Laude and above)</t>
  </si>
  <si>
    <t>Law (Cum Laude and above) #</t>
  </si>
  <si>
    <t>Singapore University of Social Sciences</t>
  </si>
  <si>
    <t>School of Business</t>
  </si>
  <si>
    <t>Bachelor of Accountancy</t>
  </si>
  <si>
    <t>Bachelor of Science in Finance</t>
  </si>
  <si>
    <t>Bachelor of Science in Marketing</t>
  </si>
  <si>
    <t>Course_Name</t>
  </si>
  <si>
    <t>Cluster</t>
  </si>
  <si>
    <t>Arts, Design &amp; Media</t>
  </si>
  <si>
    <t>Bachelor of Engineering with Honours in Civil Engineering</t>
  </si>
  <si>
    <t>Double Degree in Bachelor of Engineering (Hons) (Civil Engineering) and Bachelor of Arts (Hons) in Economics</t>
  </si>
  <si>
    <t>Bachelor of Engineering with Honours in Sustainable Infrastructure Engineering (Building Services)</t>
  </si>
  <si>
    <t>Built Environment</t>
  </si>
  <si>
    <t>Bachelor of Science in Supply Chain Management</t>
  </si>
  <si>
    <t>University</t>
  </si>
  <si>
    <t>Bachelor of Social Sciences (majors in Theatre Studies and Communications and New Media)</t>
  </si>
  <si>
    <t>NUS</t>
  </si>
  <si>
    <t>NTU</t>
  </si>
  <si>
    <t>SIT</t>
  </si>
  <si>
    <t>Bachelor of Arts (Architecture)</t>
  </si>
  <si>
    <t>Bachelor of Science (Architecture and Sustainable Design)</t>
  </si>
  <si>
    <t>SUTD</t>
  </si>
  <si>
    <t>Bachelor of Business Management</t>
  </si>
  <si>
    <t>SMU</t>
  </si>
  <si>
    <t>Bachelor of Human Resource Management</t>
  </si>
  <si>
    <t>SUSS</t>
  </si>
  <si>
    <t>Engineering</t>
  </si>
  <si>
    <t>Double Degree in Bachelor of Engineering (Hons) (Aerospace Engineering) and Bachelor of Arts (Hons) in Economics</t>
  </si>
  <si>
    <t>Bachelor of Engineering (Hons) (Chemical and Biomolecular Engineering)</t>
  </si>
  <si>
    <t>Double Degree in Bachelor of Engineering (Hons) (Chemical and Biomolecular Engineering) and Bachelor of Arts (Hons) in Economics</t>
  </si>
  <si>
    <t>Bachelor of Engineering (Hons) (Electrical and Electronic Engineering)</t>
  </si>
  <si>
    <t>Bachelor of Engineering (Hons) (Information Engineering and Media)</t>
  </si>
  <si>
    <t>Double Degree in Bachelor of Engineering (Hons) (Materials Engineering) and Bachelor of Arts (Hons) in Economics</t>
  </si>
  <si>
    <t>Double Degree in Bachelor of Engineering (Hons) (Electrical and Electronic Engineering) and Bachelor of Arts (Hons) in Economics</t>
  </si>
  <si>
    <t>Bachelor of Engineering with Honours in Systems Engineering (ElectroMechanical Systems)</t>
  </si>
  <si>
    <t>Bachelor of Engineering with Honours in Telematics (Intelligent Transportation Systems Engineering)</t>
  </si>
  <si>
    <t>Bachelor of Engineering with Honours in Pharmaceutical Engineering</t>
  </si>
  <si>
    <t>Bachelor of Food Technology with Honours</t>
  </si>
  <si>
    <t>Health Sciences</t>
  </si>
  <si>
    <t>Bachelor of Science (Pharmacy)</t>
  </si>
  <si>
    <t>Bachelor in Science with Honours (Occupational Therapy)</t>
  </si>
  <si>
    <t>Bachelor in Science with Honours (Physiotherapy)</t>
  </si>
  <si>
    <t>Bachelor in Science with Honours (Diagnostic Radiography)</t>
  </si>
  <si>
    <t>Bachelor in Science with Honours (Radiation Therapy)</t>
  </si>
  <si>
    <t>Sciences</t>
  </si>
  <si>
    <t>Bachelor of Social Science</t>
  </si>
  <si>
    <t>Bachelor of Social Work</t>
  </si>
  <si>
    <t>Humanities &amp; Social Sciences</t>
  </si>
  <si>
    <t>Bachelor of Arts (excluding majors in Theatre Studies and Communications &amp; New Media)</t>
  </si>
  <si>
    <t>Bachelor of Arts (Hons) (excluding majors in Theatre Studies and Communications &amp; New Media)</t>
  </si>
  <si>
    <t>Bachelor of Environmental Studies (specialisation in Environmental Geography)</t>
  </si>
  <si>
    <t>Bachelor of Social Sciences (excluding majors in Theatre Studies and Communications &amp; New Media)</t>
  </si>
  <si>
    <t>Bachelor of Arts (Hons) in Linguistics and Multilingual Studies</t>
  </si>
  <si>
    <t>Bachelor of Arts (Hons) in Philosophy</t>
  </si>
  <si>
    <t>Bachelor of Arts (Hons) in Public Policy and Global Affairs</t>
  </si>
  <si>
    <t>Bachelor of Science (Hons) (Sport Science and Management)</t>
  </si>
  <si>
    <t>Double Major in Bachelor of Arts (Hons) in English Literature and Art History</t>
  </si>
  <si>
    <t>Double Major in Bachelor of Arts (Hons) in Psychology and Linguistics &amp; Multilingual Studies</t>
  </si>
  <si>
    <t>Double Major in Bachelor of Arts (Hons) in Economics and Psychology</t>
  </si>
  <si>
    <t>Double Major in Bachelor of Arts (Hons) in Economics and Public Policy &amp; Global Affairs</t>
  </si>
  <si>
    <t>Double Major in Bachelor of Arts (Hons) in Psychology and Media Analytics</t>
  </si>
  <si>
    <t>Bachelor of Science (Economics)</t>
  </si>
  <si>
    <t>Bachelor of Early Childhood Education</t>
  </si>
  <si>
    <t>Information &amp; Digital Technologies</t>
  </si>
  <si>
    <t>Bachelor of Computing (Information Security)</t>
  </si>
  <si>
    <t>Bachelor of Science (Data Science and Analytics)</t>
  </si>
  <si>
    <t>Double Degree in Bachelor of Business (Hons) and Bachelor of Engineering (Hons) (Computer Engineering)</t>
  </si>
  <si>
    <t>Double Degree in Bachelor of Engineering (Hons) (Computer Science) and Bachelor of Arts (Hons) in Economics</t>
  </si>
  <si>
    <t>Bachelor of Science (Information Systems)</t>
  </si>
  <si>
    <t>Bachelor of Science in Computer Science in RealTime Interactive Simulation</t>
  </si>
  <si>
    <t>Bachelor of Science in Computer Science and Game Design</t>
  </si>
  <si>
    <t>Bachelor of Engineering in Information and Communications Technology (Software Engineering)</t>
  </si>
  <si>
    <t>Bachelor of Engineering in Information and Communications Technology
(Information Security)</t>
  </si>
  <si>
    <t>Bachelor of Science (Computational Biology)</t>
  </si>
  <si>
    <t>Bachelor of Environmental Studies (specialisation in Environmental Biology)</t>
  </si>
  <si>
    <t>Bachelor of Science (Hons) in Chemistry and Biological Chemistry</t>
  </si>
  <si>
    <t>Bachelor of Science (Hons) in Mathematics and Economics</t>
  </si>
  <si>
    <t>Bachelor of Science (Hons) in Physics and Applied Physics</t>
  </si>
  <si>
    <t>Bachelor of Science (Hons) in Biomedical Sciences</t>
  </si>
  <si>
    <t>Bachelor of Science in Environmental Earth Systems Science (Hons)</t>
  </si>
  <si>
    <t>Double Degree in Bachelor of Science (Hons) in Biomedical Sciences and Bachelor of Medicine (Chinese Medicine)</t>
  </si>
  <si>
    <t>cleansed_degree name</t>
  </si>
  <si>
    <t>Clustered1</t>
  </si>
  <si>
    <t>Clustered2</t>
  </si>
  <si>
    <t>Grand Total</t>
  </si>
  <si>
    <t>Row Labels</t>
  </si>
  <si>
    <t>Average of employment_rate_overall</t>
  </si>
  <si>
    <t>Column Labels</t>
  </si>
  <si>
    <t>Year</t>
  </si>
  <si>
    <t>Total No. of Grads</t>
  </si>
  <si>
    <t>Response Rate (%)</t>
  </si>
  <si>
    <t>NUS, NTU, SMU</t>
  </si>
  <si>
    <t>No. of Responses</t>
  </si>
  <si>
    <t>NUS, NTU, SMU, SIT</t>
  </si>
  <si>
    <t>Sum of No. of Responses</t>
  </si>
  <si>
    <t xml:space="preserve">Bachelor of Arts (Hons) </t>
  </si>
  <si>
    <t xml:space="preserve">Bachelor of Dental Surgery </t>
  </si>
  <si>
    <t xml:space="preserve">Bachelor of Engineering (Chemical Engineering) </t>
  </si>
  <si>
    <t xml:space="preserve">Bachelor of Engineering (Civil Engineering) </t>
  </si>
  <si>
    <t xml:space="preserve">Bachelor of Engineering (Electrical Engineering) </t>
  </si>
  <si>
    <t xml:space="preserve">Bachelor of Engineering (Engineering Science)* </t>
  </si>
  <si>
    <t xml:space="preserve">Bachelor of Engineering (Environmental Engineering) </t>
  </si>
  <si>
    <t xml:space="preserve">Bachelor of Engineering (Industrial and Systems Engineering) </t>
  </si>
  <si>
    <t xml:space="preserve">Bachelor of Engineering (Materials Science and Engineering) </t>
  </si>
  <si>
    <t xml:space="preserve">Bachelor of Engineering (Mechanical Engineering) </t>
  </si>
  <si>
    <t xml:space="preserve">Bachelor of Science </t>
  </si>
  <si>
    <t xml:space="preserve">Bachelor of Science (Hons)* </t>
  </si>
  <si>
    <t>Bachelor of Laws6</t>
  </si>
  <si>
    <t>Bachelor of Science (Pharmacy)6</t>
  </si>
  <si>
    <t xml:space="preserve">Bachelor of Business Administration </t>
  </si>
  <si>
    <t xml:space="preserve">Bachelor of Business Administration (Hons) </t>
  </si>
  <si>
    <t xml:space="preserve">Bachelor of Business Administration (Accountancy)* </t>
  </si>
  <si>
    <t xml:space="preserve">Bachelor of Business Administration (Accountancy) (Hons) </t>
  </si>
  <si>
    <t xml:space="preserve">Bachelor of Computing (Computer Science) </t>
  </si>
  <si>
    <t xml:space="preserve">Bachelor of Computing (Information Systems) </t>
  </si>
  <si>
    <t xml:space="preserve">Bachelor of Science (Business Analytics) </t>
  </si>
  <si>
    <t xml:space="preserve">Bachelor of Arts (Architecture)6 </t>
  </si>
  <si>
    <t xml:space="preserve">Bachelor of Arts (Industrial Design)* </t>
  </si>
  <si>
    <t xml:space="preserve">Bachelor of Science (Project and Facilities Management) </t>
  </si>
  <si>
    <t xml:space="preserve">Bachelor of Science (Real Estate) </t>
  </si>
  <si>
    <t xml:space="preserve">Bachelor of Medicine and Bachelor of Surgery6 </t>
  </si>
  <si>
    <t xml:space="preserve">Bachelor of Science (Nursing) </t>
  </si>
  <si>
    <t xml:space="preserve">Bachelor of Science (Nursing) (Hons) </t>
  </si>
  <si>
    <t>YST Conservatory of Music</t>
  </si>
  <si>
    <t xml:space="preserve">Bachelor of Music </t>
  </si>
  <si>
    <t xml:space="preserve">Bachelor of Arts with Honours </t>
  </si>
  <si>
    <t xml:space="preserve">Bachelor of Science with Honours* </t>
  </si>
  <si>
    <t>Multi-Disciplinary Programmes</t>
  </si>
  <si>
    <t xml:space="preserve">Bachelor of Engineering (Computer Engineering) </t>
  </si>
  <si>
    <t xml:space="preserve">Bachelor of Environmental Studies7 </t>
  </si>
  <si>
    <t xml:space="preserve">Accountancy </t>
  </si>
  <si>
    <t xml:space="preserve">Accountancy and Business </t>
  </si>
  <si>
    <t xml:space="preserve">Business </t>
  </si>
  <si>
    <t xml:space="preserve">Business and Computing* </t>
  </si>
  <si>
    <t xml:space="preserve">Aerospace Engineering </t>
  </si>
  <si>
    <t xml:space="preserve">Bioengineering </t>
  </si>
  <si>
    <t xml:space="preserve">Chemical and Biomolecular Engineering </t>
  </si>
  <si>
    <t xml:space="preserve">Civil Engineering </t>
  </si>
  <si>
    <t xml:space="preserve">Computer Engineering </t>
  </si>
  <si>
    <t xml:space="preserve">Computer Science </t>
  </si>
  <si>
    <t xml:space="preserve">Electrical and Electronic Engineering </t>
  </si>
  <si>
    <t xml:space="preserve">Environmental Engineering </t>
  </si>
  <si>
    <t xml:space="preserve">Information Engineering and Media </t>
  </si>
  <si>
    <t xml:space="preserve">Maritime Studies </t>
  </si>
  <si>
    <t xml:space="preserve">Materials Engineering </t>
  </si>
  <si>
    <t xml:space="preserve">Mechanical Engineering </t>
  </si>
  <si>
    <t xml:space="preserve">Art, Design &amp; Media </t>
  </si>
  <si>
    <t xml:space="preserve">Chinese </t>
  </si>
  <si>
    <t xml:space="preserve">Communication Studies </t>
  </si>
  <si>
    <t xml:space="preserve">Economics </t>
  </si>
  <si>
    <t xml:space="preserve">English </t>
  </si>
  <si>
    <t xml:space="preserve">History </t>
  </si>
  <si>
    <t xml:space="preserve">Linguistics And Multilingual Studies </t>
  </si>
  <si>
    <t xml:space="preserve">Philosophy* </t>
  </si>
  <si>
    <t xml:space="preserve">Psychology </t>
  </si>
  <si>
    <t xml:space="preserve">Public Policy And Global Affairs </t>
  </si>
  <si>
    <t xml:space="preserve">Sociology </t>
  </si>
  <si>
    <t>College of Science</t>
  </si>
  <si>
    <t>National Institute of Education (NIE)7</t>
  </si>
  <si>
    <t xml:space="preserve">Arts (with Education) </t>
  </si>
  <si>
    <t xml:space="preserve">Science (with Education) </t>
  </si>
  <si>
    <t xml:space="preserve">Medicine6 </t>
  </si>
  <si>
    <t xml:space="preserve">Biological Sciences </t>
  </si>
  <si>
    <t xml:space="preserve">Biomedical Sciences &amp; Chinese Medicine6* </t>
  </si>
  <si>
    <t xml:space="preserve">Chemistry &amp; Biological Chemistry </t>
  </si>
  <si>
    <t xml:space="preserve">Environmental Earth Systems Sciences* </t>
  </si>
  <si>
    <t xml:space="preserve">Mathematical Sciences </t>
  </si>
  <si>
    <t xml:space="preserve">Mathematics &amp; Economics </t>
  </si>
  <si>
    <t xml:space="preserve">Physics &amp; Applied Physics </t>
  </si>
  <si>
    <t>School of Accountancy (4-year programme)6</t>
  </si>
  <si>
    <t>School of Business (4-year programme)6</t>
  </si>
  <si>
    <t>School of Economics (4-year programme)6</t>
  </si>
  <si>
    <t>School of Information Systems (4-year programme)6</t>
  </si>
  <si>
    <t>School of Social Sciences (4-year programme)6</t>
  </si>
  <si>
    <t>School of Law (4-year programme)6</t>
  </si>
  <si>
    <t xml:space="preserve">Business Management </t>
  </si>
  <si>
    <t xml:space="preserve">Information Systems </t>
  </si>
  <si>
    <t xml:space="preserve">Social Sciences </t>
  </si>
  <si>
    <t xml:space="preserve">Law7 </t>
  </si>
  <si>
    <t xml:space="preserve">Bachelor of Engineering (Engineering Product Development) </t>
  </si>
  <si>
    <t xml:space="preserve">Bachelor of Engineering (Information Systems Technology and Design) </t>
  </si>
  <si>
    <t xml:space="preserve">Bachelor of Engineering (Engineering Systems and Design) </t>
  </si>
  <si>
    <t xml:space="preserve">Bachelor of Science (Architecture and Sustainable Design) 6 </t>
  </si>
  <si>
    <t>S R Nathan School of Human Development</t>
  </si>
  <si>
    <t xml:space="preserve">Bachelor of Human Resource Management </t>
  </si>
  <si>
    <t xml:space="preserve">Bachelor of Accountancy </t>
  </si>
  <si>
    <t xml:space="preserve">Bachelor of Science in Finance </t>
  </si>
  <si>
    <t xml:space="preserve">Bachelor of Science in Marketing </t>
  </si>
  <si>
    <t xml:space="preserve">Bachelor of Arts in Game Design * </t>
  </si>
  <si>
    <t xml:space="preserve">Bachelor of Fine Arts in Digital Art and Animation </t>
  </si>
  <si>
    <t xml:space="preserve">Bachelor of Science in Computer Science and Game Design * </t>
  </si>
  <si>
    <t xml:space="preserve">Bachelor of Science in Computer Science in Real-Time Interactive Simulation </t>
  </si>
  <si>
    <t xml:space="preserve">Bachelor of Accountancy with Honours </t>
  </si>
  <si>
    <t xml:space="preserve">Bachelor of Engineering with Honours in Information &amp; Communications Technology (Information Security) </t>
  </si>
  <si>
    <t xml:space="preserve">Bachelor of Engineering with Honours in Information &amp; Communications Technology (Software Engineering) </t>
  </si>
  <si>
    <t xml:space="preserve">Bachelor of Engineering with Honours in Pharmaceutical Engineering </t>
  </si>
  <si>
    <t xml:space="preserve">Bachelor of Engineering with Honours in Sustainable Infrastructure Engineering (Building Services) </t>
  </si>
  <si>
    <t xml:space="preserve">Bachelor of Engineering with Honours in Sustainable Infrastructure Engineering (Land) </t>
  </si>
  <si>
    <t xml:space="preserve">Bachelor of Engineering with Honours in Telematics (Intelligent Transportation Systems Engineering) </t>
  </si>
  <si>
    <t xml:space="preserve">Bachelor of Hospitality Business with Honours </t>
  </si>
  <si>
    <t>SIT-DigiPen Institute of Technology</t>
  </si>
  <si>
    <t>SIT-Massey University</t>
  </si>
  <si>
    <t>SIT-Newcastle University</t>
  </si>
  <si>
    <t xml:space="preserve">Bachelor of Engineering in Systems Engineering (ElectroMechanical Systems) * </t>
  </si>
  <si>
    <t xml:space="preserve">Bachelor of Food Technology with Honours </t>
  </si>
  <si>
    <t xml:space="preserve">Bachelor of Engineering with Honours in Chemical Engineering </t>
  </si>
  <si>
    <t xml:space="preserve">Bachelor of Engineering with Honours in Electrical Power Engineering * </t>
  </si>
  <si>
    <t xml:space="preserve">Bachelor of Engineering with Honours in Marine Engineering * </t>
  </si>
  <si>
    <t xml:space="preserve">Bachelor of Engineering with Honours in Mechanical Design and Manufacturing Engineering * </t>
  </si>
  <si>
    <t xml:space="preserve">Bachelor in Science (Occupational Therapy) </t>
  </si>
  <si>
    <t xml:space="preserve">Bachelor in Science (Physiotherapy) </t>
  </si>
  <si>
    <t xml:space="preserve">Bachelor of Science with Honours in Nursing </t>
  </si>
  <si>
    <t xml:space="preserve">Bachelor of Science in Chemical Engineering </t>
  </si>
  <si>
    <t xml:space="preserve">Bachelor of Arts with Honours in Communication Design </t>
  </si>
  <si>
    <t xml:space="preserve">Bachelor of Business Administration in Food Business Management * </t>
  </si>
  <si>
    <t xml:space="preserve">Bachelor of Arts with Honours in Interior Design </t>
  </si>
  <si>
    <t xml:space="preserve">Bachelor of Engineering with Honours in Aeronautical Engineering </t>
  </si>
  <si>
    <t xml:space="preserve">Bachelor of Engineering with Honours in Aerospace Systems </t>
  </si>
  <si>
    <t xml:space="preserve">Bachelor of Engineering with Honours in Mechanical Design Engineering </t>
  </si>
  <si>
    <t xml:space="preserve">Bachelor of Engineering with Honours in Mechatronics </t>
  </si>
  <si>
    <t xml:space="preserve">Bachelor of Science with Honours in Computing Science </t>
  </si>
  <si>
    <t xml:space="preserve">Bachelor of Arts with Honours in Criminology and Security </t>
  </si>
  <si>
    <t>(blank)</t>
  </si>
  <si>
    <t>Employed Graduates</t>
  </si>
  <si>
    <t>GES Respondents</t>
  </si>
  <si>
    <t>Graduate Employment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</si>
</sst>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0" fillId="0" borderId="0" xfId="0" applyAlignment="1"/>
    <xf numFmtId="0" fontId="0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0" fillId="33" borderId="0" xfId="0" applyFill="1"/>
    <xf numFmtId="0" fontId="0" fillId="0" borderId="0" xfId="0" applyAlignment="1">
      <alignment horizontal="center"/>
    </xf>
    <xf numFmtId="0" fontId="16" fillId="0" borderId="0" xfId="0" applyFont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[GES_SG_2013-2019.xlsm]overall-grad-employment rate!PivotTable1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Graduates</a:t>
            </a:r>
            <a:r>
              <a:rPr lang="en-US" baseline="0"/>
              <a:t> Employment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'overall-grad-employment rate'!$B$3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'overall-grad-employment rate'!$A$4:$A$11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'overall-grad-employment rate'!$B$4:$B$11</c:f>
              <c:numCache>
                <c:formatCode>0.00</c:formatCode>
                <c:ptCount val="7"/>
                <c:pt idx="0">
                  <c:v>90.663333333333355</c:v>
                </c:pt>
                <c:pt idx="1">
                  <c:v>91.177647058823524</c:v>
                </c:pt>
                <c:pt idx="2">
                  <c:v>91.018681318681331</c:v>
                </c:pt>
                <c:pt idx="3">
                  <c:v>90.076404494382018</c:v>
                </c:pt>
                <c:pt idx="4">
                  <c:v>90.324770642201827</c:v>
                </c:pt>
                <c:pt idx="5">
                  <c:v>91.609375000000014</c:v>
                </c:pt>
                <c:pt idx="6">
                  <c:v>91.057999999999993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08-4EAC-B005-77572C57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469616"/>
        <c:axId val="1868470032"/>
      </c:lineChart>
      <c:catAx>
        <c:axId val="186846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470032"/>
        <c:crosses val="autoZero"/>
        <c:auto val="1"/>
        <c:lblAlgn val="ctr"/>
        <c:lblOffset val="100"/>
        <c:noMultiLvlLbl val="0"/>
      </c:catAx>
      <c:valAx>
        <c:axId val="1868470032"/>
        <c:scaling>
          <c:orientation val="minMax"/>
          <c:max val="92"/>
          <c:min val="89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86846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[GES_SG_2013-2019.xlsm]grad-employment rate by cluster!PivotTable1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'grad-employment rate by cluster'!$B$1:$B$2</c:f>
              <c:strCache>
                <c:ptCount val="1"/>
                <c:pt idx="0">
                  <c:v>Arts, Design &amp; Media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cluster'!$B$3:$B$10</c:f>
              <c:numCache>
                <c:formatCode>0.00</c:formatCode>
                <c:ptCount val="7"/>
                <c:pt idx="0">
                  <c:v>87.416666666666671</c:v>
                </c:pt>
                <c:pt idx="1">
                  <c:v>88.26</c:v>
                </c:pt>
                <c:pt idx="2">
                  <c:v>84.22999999999999</c:v>
                </c:pt>
                <c:pt idx="3">
                  <c:v>88.23</c:v>
                </c:pt>
                <c:pt idx="4">
                  <c:v>90.241666666666674</c:v>
                </c:pt>
                <c:pt idx="5">
                  <c:v>88.791666666666671</c:v>
                </c:pt>
                <c:pt idx="6">
                  <c:v>87.233333333333348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2-4942-943F-F522AC358D69}"/>
            </c:ext>
          </c:extLst>
        </c:ser>
        <c:ser>
          <c:idx val="1"/>
          <c:order val="1"/>
          <c:tx>
            <c:strRef>
              <c:f>'grad-employment rate by cluster'!$C$1:$C$2</c:f>
              <c:strCache>
                <c:ptCount val="1"/>
                <c:pt idx="0">
                  <c:v>Business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cluster'!$C$3:$C$10</c:f>
              <c:numCache>
                <c:formatCode>0.00</c:formatCode>
                <c:ptCount val="7"/>
                <c:pt idx="0">
                  <c:v>93.766666666666666</c:v>
                </c:pt>
                <c:pt idx="1">
                  <c:v>93.428571428571431</c:v>
                </c:pt>
                <c:pt idx="2">
                  <c:v>95.585714285714289</c:v>
                </c:pt>
                <c:pt idx="3">
                  <c:v>94.576923076923094</c:v>
                </c:pt>
                <c:pt idx="4">
                  <c:v>95.426666666666677</c:v>
                </c:pt>
                <c:pt idx="5">
                  <c:v>94.933333333333337</c:v>
                </c:pt>
                <c:pt idx="6">
                  <c:v>92.764705882352928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02-4942-943F-F522AC358D69}"/>
            </c:ext>
          </c:extLst>
        </c:ser>
        <c:ser>
          <c:idx val="2"/>
          <c:order val="2"/>
          <c:tx>
            <c:strRef>
              <c:f>'grad-employment rate by cluster'!$D$1:$D$2</c:f>
              <c:strCache>
                <c:ptCount val="1"/>
                <c:pt idx="0">
                  <c:v>Engineering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cluster'!$D$3:$D$10</c:f>
              <c:numCache>
                <c:formatCode>0.00</c:formatCode>
                <c:ptCount val="7"/>
                <c:pt idx="0">
                  <c:v>88.80714285714285</c:v>
                </c:pt>
                <c:pt idx="1">
                  <c:v>88.565384615384602</c:v>
                </c:pt>
                <c:pt idx="2">
                  <c:v>89.210344827586198</c:v>
                </c:pt>
                <c:pt idx="3">
                  <c:v>86.664285714285711</c:v>
                </c:pt>
                <c:pt idx="4">
                  <c:v>87.56129032258066</c:v>
                </c:pt>
                <c:pt idx="5">
                  <c:v>90.342857142857142</c:v>
                </c:pt>
                <c:pt idx="6">
                  <c:v>88.779999999999987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02-4942-943F-F522AC358D69}"/>
            </c:ext>
          </c:extLst>
        </c:ser>
        <c:ser>
          <c:idx val="3"/>
          <c:order val="3"/>
          <c:tx>
            <c:strRef>
              <c:f>'grad-employment rate by cluster'!$E$1:$E$2</c:f>
              <c:strCache>
                <c:ptCount val="1"/>
                <c:pt idx="0">
                  <c:v>Health Sciences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cluster'!$E$3:$E$10</c:f>
              <c:numCache>
                <c:formatCode>0.00</c:formatCode>
                <c:ptCount val="7"/>
                <c:pt idx="0">
                  <c:v>97.433333333333337</c:v>
                </c:pt>
                <c:pt idx="1">
                  <c:v>99.566666666666663</c:v>
                </c:pt>
                <c:pt idx="2">
                  <c:v>99.46</c:v>
                </c:pt>
                <c:pt idx="3">
                  <c:v>96.210000000000008</c:v>
                </c:pt>
                <c:pt idx="4">
                  <c:v>98.3125</c:v>
                </c:pt>
                <c:pt idx="5">
                  <c:v>96.422222222222217</c:v>
                </c:pt>
                <c:pt idx="6">
                  <c:v>98.36666666666666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02-4942-943F-F522AC358D69}"/>
            </c:ext>
          </c:extLst>
        </c:ser>
        <c:ser>
          <c:idx val="4"/>
          <c:order val="4"/>
          <c:tx>
            <c:strRef>
              <c:f>'grad-employment rate by cluster'!$F$1:$F$2</c:f>
              <c:strCache>
                <c:ptCount val="1"/>
                <c:pt idx="0">
                  <c:v>Humanities &amp; Social Sciences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cluster'!$F$3:$F$10</c:f>
              <c:numCache>
                <c:formatCode>0.00</c:formatCode>
                <c:ptCount val="7"/>
                <c:pt idx="0">
                  <c:v>89.885714285714286</c:v>
                </c:pt>
                <c:pt idx="1">
                  <c:v>90.912500000000009</c:v>
                </c:pt>
                <c:pt idx="2">
                  <c:v>91.4</c:v>
                </c:pt>
                <c:pt idx="3">
                  <c:v>91.73333333333332</c:v>
                </c:pt>
                <c:pt idx="4">
                  <c:v>86.339999999999989</c:v>
                </c:pt>
                <c:pt idx="5">
                  <c:v>91.111111111111114</c:v>
                </c:pt>
                <c:pt idx="6">
                  <c:v>87.585714285714275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2-4942-943F-F522AC358D69}"/>
            </c:ext>
          </c:extLst>
        </c:ser>
        <c:ser>
          <c:idx val="5"/>
          <c:order val="5"/>
          <c:tx>
            <c:strRef>
              <c:f>'grad-employment rate by cluster'!$G$1:$G$2</c:f>
              <c:strCache>
                <c:ptCount val="1"/>
                <c:pt idx="0">
                  <c:v>Sciences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cluster'!$G$3:$G$10</c:f>
              <c:numCache>
                <c:formatCode>0.00</c:formatCode>
                <c:ptCount val="7"/>
                <c:pt idx="0">
                  <c:v>84.039999999999992</c:v>
                </c:pt>
                <c:pt idx="1">
                  <c:v>82.9</c:v>
                </c:pt>
                <c:pt idx="2">
                  <c:v>80.63333333333334</c:v>
                </c:pt>
                <c:pt idx="3">
                  <c:v>82.516666666666666</c:v>
                </c:pt>
                <c:pt idx="4">
                  <c:v>83.454545454545453</c:v>
                </c:pt>
                <c:pt idx="5">
                  <c:v>82.357142857142875</c:v>
                </c:pt>
                <c:pt idx="6">
                  <c:v>86.514285714285705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02-4942-943F-F522AC358D69}"/>
            </c:ext>
          </c:extLst>
        </c:ser>
        <c:ser>
          <c:idx val="6"/>
          <c:order val="6"/>
          <c:tx>
            <c:strRef>
              <c:f>'grad-employment rate by cluster'!$H$1:$H$2</c:f>
              <c:strCache>
                <c:ptCount val="1"/>
                <c:pt idx="0">
                  <c:v>Built Environment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cluster'!$H$3:$H$10</c:f>
              <c:numCache>
                <c:formatCode>0.00</c:formatCode>
                <c:ptCount val="7"/>
                <c:pt idx="0">
                  <c:v>94.033333333333317</c:v>
                </c:pt>
                <c:pt idx="1">
                  <c:v>95.974999999999994</c:v>
                </c:pt>
                <c:pt idx="2">
                  <c:v>95.574999999999989</c:v>
                </c:pt>
                <c:pt idx="3">
                  <c:v>92.724999999999994</c:v>
                </c:pt>
                <c:pt idx="4">
                  <c:v>93.98</c:v>
                </c:pt>
                <c:pt idx="5">
                  <c:v>90.833333333333329</c:v>
                </c:pt>
                <c:pt idx="6">
                  <c:v>95.183333333333337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D-4B5E-B31D-A9BC2FCAF7E1}"/>
            </c:ext>
          </c:extLst>
        </c:ser>
        <c:ser>
          <c:idx val="7"/>
          <c:order val="7"/>
          <c:tx>
            <c:strRef>
              <c:f>'grad-employment rate by cluster'!$I$1:$I$2</c:f>
              <c:strCache>
                <c:ptCount val="1"/>
                <c:pt idx="0">
                  <c:v>Information &amp; Digital Technologies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cluster'!$I$3:$I$10</c:f>
              <c:numCache>
                <c:formatCode>0.00</c:formatCode>
                <c:ptCount val="7"/>
                <c:pt idx="0">
                  <c:v>90.100000000000009</c:v>
                </c:pt>
                <c:pt idx="1">
                  <c:v>92.777777777777771</c:v>
                </c:pt>
                <c:pt idx="2">
                  <c:v>92.32</c:v>
                </c:pt>
                <c:pt idx="3">
                  <c:v>91.63333333333334</c:v>
                </c:pt>
                <c:pt idx="4">
                  <c:v>95.927272727272737</c:v>
                </c:pt>
                <c:pt idx="5">
                  <c:v>95.38</c:v>
                </c:pt>
                <c:pt idx="6">
                  <c:v>95.291666666666643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3D-4B5E-B31D-A9BC2FCAF7E1}"/>
            </c:ext>
          </c:extLst>
        </c:ser>
        <c:ser>
          <c:idx val="8"/>
          <c:order val="8"/>
          <c:tx>
            <c:strRef>
              <c:f>'grad-employment rate by cluster'!$J$1:$J$2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cluster'!$J$3:$J$10</c:f>
              <c:numCache>
                <c:formatCode>0.00</c:formatCode>
                <c:ptCount val="7"/>
                <c:pt idx="4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3D-4B5E-B31D-A9BC2FCAF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076831"/>
        <c:axId val="697086399"/>
      </c:lineChart>
      <c:catAx>
        <c:axId val="69707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86399"/>
        <c:crosses val="autoZero"/>
        <c:auto val="1"/>
        <c:lblAlgn val="ctr"/>
        <c:lblOffset val="100"/>
        <c:noMultiLvlLbl val="0"/>
      </c:catAx>
      <c:valAx>
        <c:axId val="697086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7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383074608622839"/>
          <c:y val="5.9246135899679205E-2"/>
          <c:w val="0.20616925391377158"/>
          <c:h val="0.667893199081601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249555</xdr:colOff>
      <xdr:row>1</xdr:row>
      <xdr:rowOff>177165</xdr:rowOff>
    </xdr:from>
    <xdr:to>
      <xdr:col>22</xdr:col>
      <xdr:colOff>182881</xdr:colOff>
      <xdr:row>16</xdr:row>
      <xdr:rowOff>177165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708957-253D-45A4-A4F2-5AFA4BBF3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1670684</xdr:colOff>
      <xdr:row>9</xdr:row>
      <xdr:rowOff>32384</xdr:rowOff>
    </xdr:from>
    <xdr:to>
      <xdr:col>6</xdr:col>
      <xdr:colOff>163829</xdr:colOff>
      <xdr:row>26</xdr:row>
      <xdr:rowOff>87629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F02EFC0-4064-4C41-94D0-A685868DC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" refreshedDate="44315.926246180556" createdVersion="7" refreshedVersion="7" minRefreshableVersion="3" recordCount="630" xr:uid="{03DDC027-7772-46C2-B957-F9EAB7D1008F}">
  <cacheSource type="worksheet">
    <worksheetSource ref="A1:I631" sheet="processed"/>
  </cacheSource>
  <cacheFields count="9">
    <cacheField name="year" numFmtId="0">
      <sharedItems containsSemiMixedTypes="0" containsString="0" containsNumber="1" containsInteger="1" minValue="2013" maxValue="2019" count="7">
        <n v="2016"/>
        <n v="2017"/>
        <n v="2019"/>
        <n v="2015"/>
        <n v="2018"/>
        <n v="2014"/>
        <n v="2013"/>
      </sharedItems>
    </cacheField>
    <cacheField name="university" numFmtId="0">
      <sharedItems/>
    </cacheField>
    <cacheField name="school" numFmtId="0">
      <sharedItems containsBlank="1"/>
    </cacheField>
    <cacheField name="degree" numFmtId="0">
      <sharedItems/>
    </cacheField>
    <cacheField name="employment_rate_overall" numFmtId="0">
      <sharedItems containsSemiMixedTypes="0" containsString="0" containsNumber="1" minValue="70.099999999999994" maxValue="100"/>
    </cacheField>
    <cacheField name="employment_rate_ft_perm" numFmtId="0">
      <sharedItems containsSemiMixedTypes="0" containsString="0" containsNumber="1" minValue="14.3" maxValue="100"/>
    </cacheField>
    <cacheField name="cleansed_degree name" numFmtId="0">
      <sharedItems/>
    </cacheField>
    <cacheField name="Clustered1" numFmtId="0">
      <sharedItems/>
    </cacheField>
    <cacheField name="Clustered2" numFmtId="0">
      <sharedItems containsBlank="1" count="9">
        <s v="Business"/>
        <s v="Arts, Design &amp; Media"/>
        <s v="Built Environment"/>
        <s v="Engineering"/>
        <s v="Health Sciences"/>
        <s v="Sciences"/>
        <s v="Information &amp; Digital Technologies"/>
        <s v="Humanities &amp; Social Science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" refreshedDate="44317.438091898148" createdVersion="7" refreshedVersion="7" minRefreshableVersion="3" recordCount="40" xr:uid="{7A6537B6-DC5C-4E94-84E2-4C2782B0EAF5}">
  <cacheSource type="worksheet">
    <worksheetSource ref="A1:E41" sheet="response-rate"/>
  </cacheSource>
  <cacheFields count="5">
    <cacheField name="Year" numFmtId="0">
      <sharedItems containsSemiMixedTypes="0" containsString="0" containsNumber="1" containsInteger="1" minValue="2013" maxValue="2019" count="7">
        <n v="2013"/>
        <n v="2014"/>
        <n v="2015"/>
        <n v="2016"/>
        <n v="2017"/>
        <n v="2018"/>
        <n v="2019"/>
      </sharedItems>
    </cacheField>
    <cacheField name="University" numFmtId="0">
      <sharedItems/>
    </cacheField>
    <cacheField name="Total No. of Grads" numFmtId="0">
      <sharedItems containsSemiMixedTypes="0" containsString="0" containsNumber="1" containsInteger="1" minValue="28" maxValue="15365"/>
    </cacheField>
    <cacheField name="Response Rate (%)" numFmtId="0">
      <sharedItems containsSemiMixedTypes="0" containsString="0" containsNumber="1" minValue="68.400000000000006" maxValue="100"/>
    </cacheField>
    <cacheField name="No. of Responses" numFmtId="164">
      <sharedItems containsSemiMixedTypes="0" containsString="0" containsNumber="1" containsInteger="1" minValue="26" maxValue="111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0">
  <r>
    <x v="0"/>
    <s v="Singapore Management University"/>
    <s v="School of Accountancy (4-year programme) *"/>
    <s v="Accountancy"/>
    <n v="98.5"/>
    <n v="96"/>
    <s v="Accountancy"/>
    <e v="#N/A"/>
    <x v="0"/>
  </r>
  <r>
    <x v="1"/>
    <s v="Singapore Management University"/>
    <s v="School of Accountancy (4-years programme) *"/>
    <s v="Accountancy"/>
    <n v="98"/>
    <n v="96.6"/>
    <s v="Accountancy"/>
    <e v="#N/A"/>
    <x v="0"/>
  </r>
  <r>
    <x v="2"/>
    <s v="Nanyang Technological University"/>
    <s v="College of Business (Nanyang Business School)"/>
    <s v="Accountancy "/>
    <n v="97.5"/>
    <n v="94"/>
    <s v="Accountancy"/>
    <e v="#N/A"/>
    <x v="0"/>
  </r>
  <r>
    <x v="3"/>
    <s v="Singapore Management University"/>
    <s v="School of Accountancy (4-year programme) *"/>
    <s v="Accountancy"/>
    <n v="97.3"/>
    <n v="93"/>
    <s v="Accountancy"/>
    <e v="#N/A"/>
    <x v="0"/>
  </r>
  <r>
    <x v="0"/>
    <s v="Nanyang Technological University"/>
    <s v="College of Business (Nanyang Business School)"/>
    <s v="Accountancy"/>
    <n v="97.3"/>
    <n v="95.1"/>
    <s v="Accountancy"/>
    <e v="#N/A"/>
    <x v="0"/>
  </r>
  <r>
    <x v="4"/>
    <s v="Singapore Management University"/>
    <s v="School of Accountancy (4-year programme) *"/>
    <s v="Accountancy"/>
    <n v="96.4"/>
    <n v="92.3"/>
    <s v="Accountancy"/>
    <e v="#N/A"/>
    <x v="0"/>
  </r>
  <r>
    <x v="5"/>
    <s v="Singapore Institute of Technology"/>
    <s v="DigiPen Institute of Technology"/>
    <s v="Bachelor of Arts in Game Design"/>
    <n v="100"/>
    <n v="86.7"/>
    <s v="Bachelor of Arts in Game Design"/>
    <s v="Arts, Design &amp; Media"/>
    <x v="1"/>
  </r>
  <r>
    <x v="2"/>
    <s v="Singapore Management University"/>
    <s v="School of Accountancy (4-year programme)6"/>
    <s v="Accountancy "/>
    <n v="96.399999999999991"/>
    <n v="93.7"/>
    <s v="Accountancy"/>
    <e v="#N/A"/>
    <x v="0"/>
  </r>
  <r>
    <x v="0"/>
    <s v="Singapore Institute of Technology"/>
    <s v="The Glasgow School of Art"/>
    <s v="Bachelor of Arts with Honours in Interior Design"/>
    <n v="97.4"/>
    <n v="76.3"/>
    <s v="Bachelor of Arts with Honours in Interior Design"/>
    <s v="Arts, Design &amp; Media"/>
    <x v="1"/>
  </r>
  <r>
    <x v="1"/>
    <s v="Singapore Institute of Technology"/>
    <s v="DigiPen Institute of Technology"/>
    <s v="Bachelor of Arts in Game Design ^"/>
    <n v="96.2"/>
    <n v="92.3"/>
    <s v="Bachelor of Arts in Game Design"/>
    <s v="Arts, Design &amp; Media"/>
    <x v="1"/>
  </r>
  <r>
    <x v="4"/>
    <s v="Nanyang Technological University"/>
    <s v="College of Business (Nanyang Business School)"/>
    <s v="Accountancy"/>
    <n v="94.6"/>
    <n v="92.2"/>
    <s v="Accountancy"/>
    <e v="#N/A"/>
    <x v="0"/>
  </r>
  <r>
    <x v="5"/>
    <s v="Singapore Institute of Technology"/>
    <s v="The Glasgow School of Art"/>
    <s v="Bachelor of Arts with Honours in Interior Design"/>
    <n v="93.9"/>
    <n v="90.9"/>
    <s v="Bachelor of Arts with Honours in Interior Design"/>
    <s v="Arts, Design &amp; Media"/>
    <x v="1"/>
  </r>
  <r>
    <x v="3"/>
    <s v="Nanyang Technological University"/>
    <s v="College of Business (Nanyang Business School)"/>
    <s v="Accountancy (3-yr direct Honours Programme)"/>
    <n v="97.3"/>
    <n v="96.5"/>
    <s v="Accountancy (3-yr direct Honours Programme)"/>
    <e v="#N/A"/>
    <x v="0"/>
  </r>
  <r>
    <x v="1"/>
    <s v="National University of Singapore"/>
    <s v="School of Design and Environment"/>
    <s v="Bachelor of Arts (Industrial Design)"/>
    <n v="93.3"/>
    <n v="60"/>
    <s v="Bachelor of Arts (Industrial Design)"/>
    <s v="Arts, Design &amp; Media"/>
    <x v="1"/>
  </r>
  <r>
    <x v="2"/>
    <s v="National University of Singapore"/>
    <s v="Faculty of Arts &amp; Social Sciences"/>
    <s v="Bachelor of Arts (Hons) "/>
    <n v="92.7"/>
    <n v="68.2"/>
    <s v="Bachelor of Arts (Hons)"/>
    <s v="Arts, Design &amp; Media"/>
    <x v="1"/>
  </r>
  <r>
    <x v="1"/>
    <s v="Nanyang Technological University"/>
    <s v="College of Engineering"/>
    <s v="Bachelor of Communication Studies (Hons)"/>
    <n v="92.6"/>
    <n v="62.2"/>
    <s v="Bachelor of Communication Studies (Hons)"/>
    <s v="Arts, Design &amp; Media"/>
    <x v="1"/>
  </r>
  <r>
    <x v="1"/>
    <s v="Singapore Institute of Technology"/>
    <s v="The Glasgow School of Art"/>
    <s v="Bachelor of Arts with Honours in Interior Design"/>
    <n v="92.3"/>
    <n v="87.2"/>
    <s v="Bachelor of Arts with Honours in Interior Design"/>
    <s v="Arts, Design &amp; Media"/>
    <x v="1"/>
  </r>
  <r>
    <x v="4"/>
    <s v="Singapore Institute of Technology"/>
    <s v="The Glasgow School of Art"/>
    <s v="Bachelor of Arts with Honours in Interior Design"/>
    <n v="92.3"/>
    <n v="76.900000000000006"/>
    <s v="Bachelor of Arts with Honours in Interior Design"/>
    <s v="Arts, Design &amp; Media"/>
    <x v="1"/>
  </r>
  <r>
    <x v="4"/>
    <s v="Singapore Institute of Technology"/>
    <s v="DigiPen Institute of Technology"/>
    <s v="Bachelor of Fine Arts in Digital Art and Animation"/>
    <n v="91.2"/>
    <n v="52.9"/>
    <s v="Bachelor of Fine Arts in Digital Art and Animation"/>
    <s v="Arts, Design &amp; Media"/>
    <x v="1"/>
  </r>
  <r>
    <x v="0"/>
    <s v="Singapore Institute of Technology"/>
    <s v="The Glasgow School of Art"/>
    <s v="Bachelor of Arts with Honours in Communication Design"/>
    <n v="91.1"/>
    <n v="58.9"/>
    <s v="Bachelor of Arts with Honours in Communication Design"/>
    <s v="Arts, Design &amp; Media"/>
    <x v="1"/>
  </r>
  <r>
    <x v="0"/>
    <s v="National University of Singapore"/>
    <s v="Faculty of Arts &amp; Social Sciences"/>
    <s v="Bachelor of Arts (Hons)"/>
    <n v="90.7"/>
    <n v="74.099999999999994"/>
    <s v="Bachelor of Arts (Hons)"/>
    <s v="Arts, Design &amp; Media"/>
    <x v="1"/>
  </r>
  <r>
    <x v="1"/>
    <s v="Singapore Institute of Technology"/>
    <s v="The Glasgow School of Art"/>
    <s v="Bachelor of Arts with Honours in Communication Design"/>
    <n v="90.7"/>
    <n v="68.5"/>
    <s v="Bachelor of Arts with Honours in Communication Design"/>
    <s v="Arts, Design &amp; Media"/>
    <x v="1"/>
  </r>
  <r>
    <x v="0"/>
    <s v="National University of Singapore"/>
    <s v="School of Design and Environment"/>
    <s v="Bachelor of Arts (Industrial Design)"/>
    <n v="90.6"/>
    <n v="65.599999999999994"/>
    <s v="Bachelor of Arts (Industrial Design)"/>
    <s v="Arts, Design &amp; Media"/>
    <x v="1"/>
  </r>
  <r>
    <x v="6"/>
    <s v="Nanyang Technological University"/>
    <s v="College of Business (Nanyang Business School)"/>
    <s v="Accountancy (3-yr direct Honours Programme)"/>
    <n v="97.1"/>
    <n v="95.7"/>
    <s v="Accountancy (3-yr direct Honours Programme)"/>
    <e v="#N/A"/>
    <x v="0"/>
  </r>
  <r>
    <x v="5"/>
    <s v="Nanyang Technological University"/>
    <s v="College of Business (Nanyang Business School)"/>
    <s v="Accountancy (3-yr direct Honours Programme)"/>
    <n v="96.6"/>
    <n v="96.1"/>
    <s v="Accountancy (3-yr direct Honours Programme)"/>
    <e v="#N/A"/>
    <x v="0"/>
  </r>
  <r>
    <x v="5"/>
    <s v="Singapore Institute of Technology"/>
    <s v="The Glasgow School of Art"/>
    <s v="Bachelor of Arts with Honours in Communication Design"/>
    <n v="89.1"/>
    <n v="78.3"/>
    <s v="Bachelor of Arts with Honours in Communication Design"/>
    <s v="Arts, Design &amp; Media"/>
    <x v="1"/>
  </r>
  <r>
    <x v="1"/>
    <s v="Nanyang Technological University"/>
    <s v="College of Engineering"/>
    <s v="Bachelor of Fine Arts (Hons)"/>
    <n v="88.5"/>
    <n v="54"/>
    <s v="Bachelor of Fine Arts (Hons)"/>
    <s v="Arts, Design &amp; Media"/>
    <x v="1"/>
  </r>
  <r>
    <x v="3"/>
    <s v="National University of Singapore"/>
    <s v="Faculty of Arts &amp; Social Sciences"/>
    <s v="Bachelor of Arts"/>
    <n v="88.4"/>
    <n v="74.599999999999994"/>
    <s v="Bachelor of Arts"/>
    <s v="Arts, Design &amp; Media"/>
    <x v="1"/>
  </r>
  <r>
    <x v="1"/>
    <s v="National University of Singapore"/>
    <s v="Faculty of Arts &amp; Social Sciences"/>
    <s v="Bachelor of Arts (Hons)"/>
    <n v="88.2"/>
    <n v="66.7"/>
    <s v="Bachelor of Arts (Hons)"/>
    <s v="Arts, Design &amp; Media"/>
    <x v="1"/>
  </r>
  <r>
    <x v="4"/>
    <s v="National University of Singapore"/>
    <s v="Faculty of Arts &amp; Social Sciences"/>
    <s v="Bachelor of Arts (Hons)"/>
    <n v="87.5"/>
    <n v="60.8"/>
    <s v="Bachelor of Arts (Hons)"/>
    <s v="Arts, Design &amp; Media"/>
    <x v="1"/>
  </r>
  <r>
    <x v="3"/>
    <s v="Singapore Institute of Technology"/>
    <s v="The Glasgow School of Art"/>
    <s v="Bachelor of Arts with Honours in Interior Design"/>
    <n v="87.5"/>
    <n v="71.900000000000006"/>
    <s v="Bachelor of Arts with Honours in Interior Design"/>
    <s v="Arts, Design &amp; Media"/>
    <x v="1"/>
  </r>
  <r>
    <x v="2"/>
    <s v="Singapore Institute of Technology"/>
    <s v="The Glasgow School of Art"/>
    <s v="Bachelor of Arts with Honours in Interior Design "/>
    <n v="87.1"/>
    <n v="80.600000000000009"/>
    <s v="Bachelor of Arts with Honours in Interior Design"/>
    <s v="Arts, Design &amp; Media"/>
    <x v="1"/>
  </r>
  <r>
    <x v="4"/>
    <s v="National University of Singapore"/>
    <s v="School of Design &amp; Environment"/>
    <s v="Bachelor of Arts (Industrial Design)"/>
    <n v="87"/>
    <n v="69.599999999999994"/>
    <s v="Bachelor of Arts (Industrial Design)"/>
    <s v="Arts, Design &amp; Media"/>
    <x v="1"/>
  </r>
  <r>
    <x v="4"/>
    <s v="Singapore Institute of Technology"/>
    <s v="DigiPen Institute of Technology"/>
    <s v="Bachelor of Arts in Game Design ^"/>
    <n v="86.7"/>
    <n v="86.7"/>
    <s v="Bachelor of Arts in Game Design"/>
    <s v="Arts, Design &amp; Media"/>
    <x v="1"/>
  </r>
  <r>
    <x v="6"/>
    <s v="National University of Singapore"/>
    <s v="Faculty of Arts &amp; Social Sciences"/>
    <s v="Bachelor of Arts (Hons)"/>
    <n v="86.6"/>
    <n v="74.599999999999994"/>
    <s v="Bachelor of Arts (Hons)"/>
    <s v="Arts, Design &amp; Media"/>
    <x v="1"/>
  </r>
  <r>
    <x v="2"/>
    <s v="National University of Singapore"/>
    <s v="School of Design &amp; Environment"/>
    <s v="Bachelor of Arts (Industrial Design)* "/>
    <n v="86.2"/>
    <n v="48.3"/>
    <s v="Bachelor of Arts (Industrial Design)"/>
    <s v="Arts, Design &amp; Media"/>
    <x v="1"/>
  </r>
  <r>
    <x v="0"/>
    <s v="National University of Singapore"/>
    <s v="Faculty of Arts &amp; Social Sciences"/>
    <s v="Bachelor of Arts"/>
    <n v="86.1"/>
    <n v="62.5"/>
    <s v="Bachelor of Arts"/>
    <s v="Arts, Design &amp; Media"/>
    <x v="1"/>
  </r>
  <r>
    <x v="1"/>
    <s v="National University of Singapore"/>
    <s v="Faculty of Arts &amp; Social Sciences"/>
    <s v="Bachelor of Arts"/>
    <n v="85.8"/>
    <n v="61.9"/>
    <s v="Bachelor of Arts"/>
    <s v="Arts, Design &amp; Media"/>
    <x v="1"/>
  </r>
  <r>
    <x v="5"/>
    <s v="Singapore Management University"/>
    <s v="School of Accountancy (4-year programme) *"/>
    <s v="Accountancy (4-year programme)"/>
    <n v="93.6"/>
    <n v="91.4"/>
    <s v="Accountancy (4-year programme)"/>
    <e v="#N/A"/>
    <x v="0"/>
  </r>
  <r>
    <x v="2"/>
    <s v="National University of Singapore"/>
    <s v="Faculty of Arts &amp; Social Sciences"/>
    <s v="Bachelor of Arts"/>
    <n v="84.9"/>
    <n v="64.5"/>
    <s v="Bachelor of Arts"/>
    <s v="Arts, Design &amp; Media"/>
    <x v="1"/>
  </r>
  <r>
    <x v="4"/>
    <s v="Singapore Institute of Technology"/>
    <s v="The Glasgow School of Art"/>
    <s v="Bachelor of Arts with Honours in Communication Design"/>
    <n v="84.9"/>
    <n v="54.7"/>
    <s v="Bachelor of Arts with Honours in Communication Design"/>
    <s v="Arts, Design &amp; Media"/>
    <x v="1"/>
  </r>
  <r>
    <x v="6"/>
    <s v="National University of Singapore"/>
    <s v="Faculty of Arts &amp; Social Sciences"/>
    <s v="Bachelor of Arts"/>
    <n v="84.8"/>
    <n v="70.099999999999994"/>
    <s v="Bachelor of Arts"/>
    <s v="Arts, Design &amp; Media"/>
    <x v="1"/>
  </r>
  <r>
    <x v="4"/>
    <s v="National University of Singapore"/>
    <s v="Faculty of Arts &amp; Social Sciences"/>
    <s v="Bachelor of Arts"/>
    <n v="83.7"/>
    <n v="56.6"/>
    <s v="Bachelor of Arts"/>
    <s v="Arts, Design &amp; Media"/>
    <x v="1"/>
  </r>
  <r>
    <x v="5"/>
    <s v="Singapore Management University"/>
    <s v="School of Accountancy (4-year programme) *"/>
    <s v="Accountancy (4-year programme) Cum Laude and above"/>
    <n v="97.4"/>
    <n v="96.1"/>
    <s v="Accountancy (4-year programme) Cum Laude and above"/>
    <e v="#N/A"/>
    <x v="0"/>
  </r>
  <r>
    <x v="2"/>
    <s v="Singapore Institute of Technology"/>
    <s v="DigiPen Institute of Technology"/>
    <s v="Bachelor of Arts in Game Design * "/>
    <n v="83.3"/>
    <n v="79.2"/>
    <s v="Bachelor of Arts in Game Design"/>
    <s v="Arts, Design &amp; Media"/>
    <x v="1"/>
  </r>
  <r>
    <x v="5"/>
    <s v="National University of Singapore"/>
    <s v="Faculty of Arts &amp; Social Sciences"/>
    <s v="Bachelor of Arts (Hons)"/>
    <n v="83.1"/>
    <n v="76.599999999999994"/>
    <s v="Bachelor of Arts (Hons)"/>
    <s v="Arts, Design &amp; Media"/>
    <x v="1"/>
  </r>
  <r>
    <x v="3"/>
    <s v="National University of Singapore"/>
    <s v="Faculty of Arts &amp; Social Sciences"/>
    <s v="Bachelor of Arts (Hons)"/>
    <n v="83"/>
    <n v="70.5"/>
    <s v="Bachelor of Arts (Hons)"/>
    <s v="Arts, Design &amp; Media"/>
    <x v="1"/>
  </r>
  <r>
    <x v="6"/>
    <s v="National University of Singapore"/>
    <s v="School of Design &amp; Environment"/>
    <s v="Bachelor of Arts (Industrial Design)"/>
    <n v="82.1"/>
    <n v="53.6"/>
    <s v="Bachelor of Arts (Industrial Design)"/>
    <s v="Arts, Design &amp; Media"/>
    <x v="1"/>
  </r>
  <r>
    <x v="5"/>
    <s v="National University of Singapore"/>
    <s v="Faculty of Arts &amp; Social Sciences"/>
    <s v="Bachelor of Arts"/>
    <n v="81.900000000000006"/>
    <n v="65.3"/>
    <s v="Bachelor of Arts"/>
    <s v="Arts, Design &amp; Media"/>
    <x v="1"/>
  </r>
  <r>
    <x v="6"/>
    <s v="Singapore Management University"/>
    <s v="School of Accountancy (4-years programme) *"/>
    <s v="Accountancy (4-years programme)"/>
    <n v="94.2"/>
    <n v="93.2"/>
    <s v="Accountancy (4-years programme)"/>
    <e v="#N/A"/>
    <x v="0"/>
  </r>
  <r>
    <x v="2"/>
    <s v="Singapore Institute of Technology"/>
    <s v="DigiPen Institute of Technology"/>
    <s v="Bachelor of Fine Arts in Digital Art and Animation "/>
    <n v="81.3"/>
    <n v="50"/>
    <s v="Bachelor of Fine Arts in Digital Art and Animation"/>
    <s v="Arts, Design &amp; Media"/>
    <x v="1"/>
  </r>
  <r>
    <x v="6"/>
    <s v="Singapore Management University"/>
    <s v="School of Accountancy (4-years programme) *"/>
    <s v="Accountancy (4-years programme) Cum Laude and above"/>
    <n v="95.2"/>
    <n v="95.2"/>
    <s v="Accountancy (4-years programme) Cum Laude and above"/>
    <e v="#N/A"/>
    <x v="0"/>
  </r>
  <r>
    <x v="4"/>
    <s v="Singapore Management University"/>
    <s v="School of Accountancy (4-year programme) *"/>
    <s v="Accountancy (Cum Laude and above)"/>
    <n v="96.3"/>
    <n v="95.1"/>
    <s v="Accountancy (Cum Laude and above)"/>
    <e v="#N/A"/>
    <x v="0"/>
  </r>
  <r>
    <x v="4"/>
    <s v="Nanyang Technological University"/>
    <s v="College of Business (Nanyang Business School)"/>
    <s v="Accountancy and Business"/>
    <n v="99.2"/>
    <n v="97.7"/>
    <s v="Accountancy and Business"/>
    <e v="#N/A"/>
    <x v="0"/>
  </r>
  <r>
    <x v="2"/>
    <s v="Singapore Institute of Technology"/>
    <s v="The Glasgow School of Art"/>
    <s v="Bachelor of Arts with Honours in Communication Design "/>
    <n v="78.7"/>
    <n v="55.300000000000004"/>
    <s v="Bachelor of Arts with Honours in Communication Design"/>
    <s v="Arts, Design &amp; Media"/>
    <x v="1"/>
  </r>
  <r>
    <x v="5"/>
    <s v="National University of Singapore"/>
    <s v="School of Design &amp; Environment"/>
    <s v="Bachelor of Arts (Industrial Design)"/>
    <n v="77.3"/>
    <n v="59.1"/>
    <s v="Bachelor of Arts (Industrial Design)"/>
    <s v="Arts, Design &amp; Media"/>
    <x v="1"/>
  </r>
  <r>
    <x v="3"/>
    <s v="Singapore Institute of Technology"/>
    <s v="The Glasgow School of Art"/>
    <s v="Bachelor of Arts with Honours in Communication Design"/>
    <n v="76.099999999999994"/>
    <n v="54.3"/>
    <s v="Bachelor of Arts with Honours in Communication Design"/>
    <s v="Arts, Design &amp; Media"/>
    <x v="1"/>
  </r>
  <r>
    <x v="3"/>
    <s v="National University of Singapore"/>
    <s v="School of Design &amp; Environment"/>
    <s v="Bachelor of Arts (Industrial Design)"/>
    <n v="72"/>
    <n v="60"/>
    <s v="Bachelor of Arts (Industrial Design)"/>
    <s v="Arts, Design &amp; Media"/>
    <x v="1"/>
  </r>
  <r>
    <x v="3"/>
    <s v="Nanyang Technological University"/>
    <s v="College of Business (Nanyang Business School)"/>
    <s v="Accountancy and Business"/>
    <n v="98.6"/>
    <n v="97.3"/>
    <s v="Accountancy and Business"/>
    <e v="#N/A"/>
    <x v="0"/>
  </r>
  <r>
    <x v="5"/>
    <s v="Nanyang Technological University"/>
    <s v="College of Business (Nanyang Business School)"/>
    <s v="Accountancy and Business"/>
    <n v="98.2"/>
    <n v="95.6"/>
    <s v="Accountancy and Business"/>
    <e v="#N/A"/>
    <x v="0"/>
  </r>
  <r>
    <x v="1"/>
    <s v="Nanyang Technological University"/>
    <s v="College of Engineering"/>
    <s v="Bachelor of Engineering (Hons) (Civil Engineering)"/>
    <n v="98.5"/>
    <n v="96.9"/>
    <s v="Bachelor of Engineering (Hons) (Civil Engineering)"/>
    <s v="Built Environment"/>
    <x v="2"/>
  </r>
  <r>
    <x v="5"/>
    <s v="National University of Singapore"/>
    <s v="School of Design &amp; Environment"/>
    <s v="Bachelor of Arts (Architecture) #"/>
    <n v="98.4"/>
    <n v="95.2"/>
    <s v="Bachelor of Arts (Architecture)"/>
    <s v="Built Environment"/>
    <x v="2"/>
  </r>
  <r>
    <x v="3"/>
    <s v="National University of Singapore"/>
    <s v="School of Design &amp; Environment"/>
    <s v="Bachelor of Arts (Architecture) #"/>
    <n v="97.6"/>
    <n v="96.4"/>
    <s v="Bachelor of Arts (Architecture)"/>
    <s v="Built Environment"/>
    <x v="2"/>
  </r>
  <r>
    <x v="5"/>
    <s v="National University of Singapore"/>
    <s v="Faculty of Engineering"/>
    <s v="Bachelor of Engineering (Civil Engineering)"/>
    <n v="97.1"/>
    <n v="97.1"/>
    <s v="Bachelor of Engineering (Civil Engineering)"/>
    <s v="Built Environment"/>
    <x v="2"/>
  </r>
  <r>
    <x v="6"/>
    <s v="National University of Singapore"/>
    <s v="School of Design &amp; Environment"/>
    <s v="Bachelor of Science (Project and Facilities Management)"/>
    <n v="96.8"/>
    <n v="96.8"/>
    <s v="Bachelor of Science (Project and Facilities Management)"/>
    <s v="Built Environment"/>
    <x v="2"/>
  </r>
  <r>
    <x v="3"/>
    <s v="National University of Singapore"/>
    <s v="Faculty of Engineering"/>
    <s v="Bachelor of Engineering (Civil Engineering)"/>
    <n v="96.5"/>
    <n v="95.3"/>
    <s v="Bachelor of Engineering (Civil Engineering)"/>
    <s v="Built Environment"/>
    <x v="2"/>
  </r>
  <r>
    <x v="6"/>
    <s v="National University of Singapore"/>
    <s v="Faculty of Engineering"/>
    <s v="Bachelor of Engineering (Civil Engineering)"/>
    <n v="96.1"/>
    <n v="94.1"/>
    <s v="Bachelor of Engineering (Civil Engineering)"/>
    <s v="Built Environment"/>
    <x v="2"/>
  </r>
  <r>
    <x v="1"/>
    <s v="National University of Singapore"/>
    <s v="Faculty of Engineering"/>
    <s v="Bachelor of Engineering (Civil Engineering)"/>
    <n v="95.5"/>
    <n v="90.9"/>
    <s v="Bachelor of Engineering (Civil Engineering)"/>
    <s v="Built Environment"/>
    <x v="2"/>
  </r>
  <r>
    <x v="0"/>
    <s v="National University of Singapore"/>
    <s v="Faculty of Engineering"/>
    <s v="Bachelor of Engineering (Civil Engineering)"/>
    <n v="95.3"/>
    <n v="91.9"/>
    <s v="Bachelor of Engineering (Civil Engineering)"/>
    <s v="Built Environment"/>
    <x v="2"/>
  </r>
  <r>
    <x v="5"/>
    <s v="National University of Singapore"/>
    <s v="School of Design &amp; Environment"/>
    <s v="Bachelor of Science (Project and Facilities Management)"/>
    <n v="95.3"/>
    <n v="94.1"/>
    <s v="Bachelor of Science (Project and Facilities Management)"/>
    <s v="Built Environment"/>
    <x v="2"/>
  </r>
  <r>
    <x v="2"/>
    <s v="National University of Singapore"/>
    <s v="School of Design &amp; Environment"/>
    <s v="Bachelor of Science (Real Estate) "/>
    <n v="95.3"/>
    <n v="89.600000000000009"/>
    <s v="Bachelor of Science (Real Estate)"/>
    <s v="Built Environment"/>
    <x v="2"/>
  </r>
  <r>
    <x v="2"/>
    <s v="National University of Singapore"/>
    <s v="Faculty of Engineering"/>
    <s v="Bachelor of Engineering (Civil Engineering) "/>
    <n v="95"/>
    <n v="93"/>
    <s v="Bachelor of Engineering (Civil Engineering)"/>
    <s v="Built Environment"/>
    <x v="2"/>
  </r>
  <r>
    <x v="0"/>
    <s v="National University of Singapore"/>
    <s v="School of Design and Environment"/>
    <s v="Bachelor of Science (Real Estate)"/>
    <n v="94.6"/>
    <n v="92.4"/>
    <s v="Bachelor of Science (Real Estate)"/>
    <s v="Built Environment"/>
    <x v="2"/>
  </r>
  <r>
    <x v="3"/>
    <s v="National University of Singapore"/>
    <s v="School of Design &amp; Environment"/>
    <s v="Bachelor of Science (Project and Facilities Management)"/>
    <n v="94.3"/>
    <n v="90.8"/>
    <s v="Bachelor of Science (Project and Facilities Management)"/>
    <s v="Built Environment"/>
    <x v="2"/>
  </r>
  <r>
    <x v="3"/>
    <s v="National University of Singapore"/>
    <s v="School of Design &amp; Environment"/>
    <s v="Bachelor of Science (Real Estate)"/>
    <n v="93.9"/>
    <n v="89.6"/>
    <s v="Bachelor of Science (Real Estate)"/>
    <s v="Built Environment"/>
    <x v="2"/>
  </r>
  <r>
    <x v="1"/>
    <s v="National University of Singapore"/>
    <s v="School of Design and Environment"/>
    <s v="Bachelor of Science (Real Estate)"/>
    <n v="93.8"/>
    <n v="88.7"/>
    <s v="Bachelor of Science (Real Estate)"/>
    <s v="Built Environment"/>
    <x v="2"/>
  </r>
  <r>
    <x v="0"/>
    <s v="National University of Singapore"/>
    <s v="School of Design and Environment"/>
    <s v="Bachelor of Arts (Architecture) #"/>
    <n v="93.2"/>
    <n v="89.8"/>
    <s v="Bachelor of Arts (Architecture)"/>
    <s v="Built Environment"/>
    <x v="2"/>
  </r>
  <r>
    <x v="5"/>
    <s v="National University of Singapore"/>
    <s v="School of Design &amp; Environment"/>
    <s v="Bachelor of Science (Real Estate)"/>
    <n v="93.1"/>
    <n v="89.2"/>
    <s v="Bachelor of Science (Real Estate)"/>
    <s v="Built Environment"/>
    <x v="2"/>
  </r>
  <r>
    <x v="2"/>
    <s v="Singapore Institute of Technology"/>
    <s v="Singapore Institute of Technology (SIT)"/>
    <s v="Bachelor of Engineering with Honours in Sustainable Infrastructure Engineering (Building Services) "/>
    <n v="92.5"/>
    <n v="92.5"/>
    <s v="Bachelor of Engineering with Honours in Sustainable Infrastructure Engineering (Building Services)"/>
    <s v="Built Environment"/>
    <x v="2"/>
  </r>
  <r>
    <x v="4"/>
    <s v="National University of Singapore"/>
    <s v="Faculty of Engineering"/>
    <s v="Bachelor of Engineering (Civil Engineering)"/>
    <n v="91.8"/>
    <n v="89.8"/>
    <s v="Bachelor of Engineering (Civil Engineering)"/>
    <s v="Built Environment"/>
    <x v="2"/>
  </r>
  <r>
    <x v="4"/>
    <s v="National University of Singapore"/>
    <s v="School of Design &amp; Environment"/>
    <s v="Bachelor of Science (Real Estate)"/>
    <n v="91.7"/>
    <n v="85.1"/>
    <s v="Bachelor of Science (Real Estate)"/>
    <s v="Built Environment"/>
    <x v="2"/>
  </r>
  <r>
    <x v="1"/>
    <s v="National University of Singapore"/>
    <s v="School of Design and Environment"/>
    <s v="Bachelor of Arts (Architecture) #"/>
    <n v="91.3"/>
    <n v="86.4"/>
    <s v="Bachelor of Arts (Architecture)"/>
    <s v="Built Environment"/>
    <x v="2"/>
  </r>
  <r>
    <x v="1"/>
    <s v="National University of Singapore"/>
    <s v="School of Design and Environment"/>
    <s v="Bachelor of Science (Project and Facilities Management)"/>
    <n v="90.8"/>
    <n v="81.7"/>
    <s v="Bachelor of Science (Project and Facilities Management)"/>
    <s v="Built Environment"/>
    <x v="2"/>
  </r>
  <r>
    <x v="6"/>
    <s v="National University of Singapore"/>
    <s v="School of Design &amp; Environment"/>
    <s v="Bachelor of Science (Real Estate)"/>
    <n v="89.2"/>
    <n v="89.2"/>
    <s v="Bachelor of Science (Real Estate)"/>
    <s v="Built Environment"/>
    <x v="2"/>
  </r>
  <r>
    <x v="4"/>
    <s v="National University of Singapore"/>
    <s v="School of Design &amp; Environment"/>
    <s v="Bachelor of Science (Project and Facilities Management)"/>
    <n v="89"/>
    <n v="84.6"/>
    <s v="Bachelor of Science (Project and Facilities Management)"/>
    <s v="Built Environment"/>
    <x v="2"/>
  </r>
  <r>
    <x v="2"/>
    <s v="National University of Singapore"/>
    <s v="School of Design &amp; Environment"/>
    <s v="Bachelor of Science (Project and Facilities Management) "/>
    <n v="88.3"/>
    <n v="80.600000000000009"/>
    <s v="Bachelor of Science (Project and Facilities Management)"/>
    <s v="Built Environment"/>
    <x v="2"/>
  </r>
  <r>
    <x v="0"/>
    <s v="National University of Singapore"/>
    <s v="School of Design and Environment"/>
    <s v="Bachelor of Science (Project and Facilities Management)"/>
    <n v="87.8"/>
    <n v="84.7"/>
    <s v="Bachelor of Science (Project and Facilities Management)"/>
    <s v="Built Environment"/>
    <x v="2"/>
  </r>
  <r>
    <x v="2"/>
    <s v="Nanyang Technological University"/>
    <s v="College of Business (Nanyang Business School)"/>
    <s v="Accountancy and Business "/>
    <n v="97.899999999999991"/>
    <n v="95.199999999999989"/>
    <s v="Accountancy and Business"/>
    <e v="#N/A"/>
    <x v="0"/>
  </r>
  <r>
    <x v="2"/>
    <s v="National University of Singapore"/>
    <s v="NUS Business School"/>
    <s v="Bachelor of Business Administration "/>
    <n v="100"/>
    <n v="82.6"/>
    <s v="Bachelor of Business Administration"/>
    <s v="Business"/>
    <x v="0"/>
  </r>
  <r>
    <x v="5"/>
    <s v="National University of Singapore"/>
    <s v="NUS Business School"/>
    <s v="Bachelor of Business Administration (Accountancy) (Hons)"/>
    <n v="100"/>
    <n v="96.3"/>
    <s v="Bachelor of Business Administration (Accountancy) (Hons)"/>
    <s v="Business"/>
    <x v="0"/>
  </r>
  <r>
    <x v="1"/>
    <s v="National University of Singapore"/>
    <s v="NUS Business School"/>
    <s v="Bachelor of Business Administration (Accountancy) (Hons)"/>
    <n v="100"/>
    <n v="100"/>
    <s v="Bachelor of Business Administration (Accountancy) (Hons)"/>
    <s v="Business"/>
    <x v="0"/>
  </r>
  <r>
    <x v="6"/>
    <s v="Nanyang Technological University"/>
    <s v="College of Business (Nanyang Business School)"/>
    <s v="Accountancy and Business"/>
    <n v="97.4"/>
    <n v="96.1"/>
    <s v="Accountancy and Business"/>
    <e v="#N/A"/>
    <x v="0"/>
  </r>
  <r>
    <x v="0"/>
    <s v="Nanyang Technological University"/>
    <s v="College of Business (Nanyang Business School)"/>
    <s v="Accountancy and Business"/>
    <n v="97.4"/>
    <n v="96.6"/>
    <s v="Accountancy and Business"/>
    <e v="#N/A"/>
    <x v="0"/>
  </r>
  <r>
    <x v="0"/>
    <s v="Singapore Management University"/>
    <s v="School of Accountancy (4-year programme) *"/>
    <s v="Accountancy Cum Laude and above"/>
    <n v="100"/>
    <n v="100"/>
    <s v="Accountancy Cum Laude and above"/>
    <e v="#N/A"/>
    <x v="0"/>
  </r>
  <r>
    <x v="0"/>
    <s v="National University of Singapore"/>
    <s v="NUS Business School"/>
    <s v="Bachelor of Business Administration (Accountancy) (Hons)"/>
    <n v="99"/>
    <n v="99"/>
    <s v="Bachelor of Business Administration (Accountancy) (Hons)"/>
    <s v="Business"/>
    <x v="0"/>
  </r>
  <r>
    <x v="4"/>
    <s v="Singapore University of Social Sciences"/>
    <s v="School of Business"/>
    <s v="Bachelor of Accountancy"/>
    <n v="98.7"/>
    <n v="97.5"/>
    <s v="Bachelor of Accountancy"/>
    <s v="Business"/>
    <x v="0"/>
  </r>
  <r>
    <x v="1"/>
    <s v="Singapore Management University"/>
    <s v="School of Accountancy (4-years programme) *"/>
    <s v="Accountancy Cum Laude and above"/>
    <n v="97.8"/>
    <n v="97.8"/>
    <s v="Accountancy Cum Laude and above"/>
    <e v="#N/A"/>
    <x v="0"/>
  </r>
  <r>
    <x v="3"/>
    <s v="National University of Singapore"/>
    <s v="NUS Business School"/>
    <s v="Bachelor of Business Administration (Accountancy) (Hons)"/>
    <n v="98.6"/>
    <n v="98.6"/>
    <s v="Bachelor of Business Administration (Accountancy) (Hons)"/>
    <s v="Business"/>
    <x v="0"/>
  </r>
  <r>
    <x v="3"/>
    <s v="Singapore Management University"/>
    <s v="School of Accountancy (4-year programme) *"/>
    <s v="Accountancy Cum Laude and above"/>
    <n v="97.7"/>
    <n v="97.7"/>
    <s v="Accountancy Cum Laude and above"/>
    <e v="#N/A"/>
    <x v="0"/>
  </r>
  <r>
    <x v="6"/>
    <s v="Nanyang Technological University"/>
    <s v="College of Engineering"/>
    <s v="Aerospace Engineering"/>
    <n v="95.3"/>
    <n v="95.3"/>
    <s v="Aerospace Engineering"/>
    <e v="#N/A"/>
    <x v="3"/>
  </r>
  <r>
    <x v="1"/>
    <s v="National University of Singapore"/>
    <s v="NUS Business School"/>
    <s v="Bachelor of Business Administration (Hons)"/>
    <n v="98.2"/>
    <n v="93.6"/>
    <s v="Bachelor of Business Administration (Hons)"/>
    <s v="Business"/>
    <x v="0"/>
  </r>
  <r>
    <x v="4"/>
    <s v="Nanyang Technological University"/>
    <s v="College of Engineering"/>
    <s v="Aerospace Engineering"/>
    <n v="95.3"/>
    <n v="88.4"/>
    <s v="Aerospace Engineering"/>
    <e v="#N/A"/>
    <x v="3"/>
  </r>
  <r>
    <x v="2"/>
    <s v="Nanyang Technological University"/>
    <s v="College of Engineering"/>
    <s v="Aerospace Engineering "/>
    <n v="87.5"/>
    <n v="80.7"/>
    <s v="Aerospace Engineering"/>
    <e v="#N/A"/>
    <x v="3"/>
  </r>
  <r>
    <x v="3"/>
    <s v="Nanyang Technological University"/>
    <s v="College of Engineering"/>
    <s v="Aerospace Engineering"/>
    <n v="86"/>
    <n v="86"/>
    <s v="Aerospace Engineering"/>
    <e v="#N/A"/>
    <x v="3"/>
  </r>
  <r>
    <x v="5"/>
    <s v="Nanyang Technological University"/>
    <s v="College of Engineering"/>
    <s v="Aerospace Engineering"/>
    <n v="84.6"/>
    <n v="82.7"/>
    <s v="Aerospace Engineering"/>
    <e v="#N/A"/>
    <x v="3"/>
  </r>
  <r>
    <x v="3"/>
    <s v="National University of Singapore"/>
    <s v="NUS Business School"/>
    <s v="Bachelor of Business Administration (Accountancy)"/>
    <n v="97.6"/>
    <n v="97.6"/>
    <s v="Bachelor of Business Administration (Accountancy)"/>
    <s v="Business"/>
    <x v="0"/>
  </r>
  <r>
    <x v="4"/>
    <s v="National University of Singapore"/>
    <s v="NUS Business School"/>
    <s v="Bachelor of Business Administration (Accountancy) (Hons)"/>
    <n v="97.6"/>
    <n v="95.3"/>
    <s v="Bachelor of Business Administration (Accountancy) (Hons)"/>
    <s v="Business"/>
    <x v="0"/>
  </r>
  <r>
    <x v="0"/>
    <s v="Nanyang Technological University"/>
    <s v="College of Engineering"/>
    <s v="Aerospace Engineering"/>
    <n v="82.4"/>
    <n v="77.900000000000006"/>
    <s v="Aerospace Engineering"/>
    <e v="#N/A"/>
    <x v="3"/>
  </r>
  <r>
    <x v="4"/>
    <s v="Nanyang Technological University"/>
    <s v="College of Humanities, Arts &amp; Social Sciences"/>
    <s v="Art, Design &amp; Media"/>
    <n v="85.7"/>
    <n v="53.8"/>
    <s v="Art, Design Media"/>
    <e v="#N/A"/>
    <x v="1"/>
  </r>
  <r>
    <x v="2"/>
    <s v="Nanyang Technological University"/>
    <s v="College of Humanities, Arts &amp; Social Sciences"/>
    <s v="Art, Design &amp; Media "/>
    <n v="83.6"/>
    <n v="50.9"/>
    <s v="Art, Design Media"/>
    <e v="#N/A"/>
    <x v="1"/>
  </r>
  <r>
    <x v="6"/>
    <s v="Nanyang Technological University"/>
    <s v="College of Humanities, Arts &amp; Social Sciences"/>
    <s v="Art, Design &amp; Media"/>
    <n v="81.599999999999994"/>
    <n v="61.4"/>
    <s v="Art, Design Media"/>
    <e v="#N/A"/>
    <x v="1"/>
  </r>
  <r>
    <x v="5"/>
    <s v="Nanyang Technological University"/>
    <s v="College of Humanities, Arts &amp; Social Sciences"/>
    <s v="Art, Design &amp; Media"/>
    <n v="80"/>
    <n v="68"/>
    <s v="Art, Design Media"/>
    <e v="#N/A"/>
    <x v="1"/>
  </r>
  <r>
    <x v="0"/>
    <s v="Nanyang Technological University"/>
    <s v="College of Humanities, Arts &amp; Social Sciences"/>
    <s v="Art, Design &amp; Media"/>
    <n v="79.7"/>
    <n v="46.6"/>
    <s v="Art, Design Media"/>
    <e v="#N/A"/>
    <x v="1"/>
  </r>
  <r>
    <x v="3"/>
    <s v="Nanyang Technological University"/>
    <s v="College of Humanities, Arts &amp; Social Sciences"/>
    <s v="Art, Design &amp; Media"/>
    <n v="79.3"/>
    <n v="56.9"/>
    <s v="Art, Design Media"/>
    <e v="#N/A"/>
    <x v="1"/>
  </r>
  <r>
    <x v="1"/>
    <s v="National University of Singapore"/>
    <s v="NUS Business School"/>
    <s v="Bachelor of Business Administration (Accountancy)"/>
    <n v="97.2"/>
    <n v="94.4"/>
    <s v="Bachelor of Business Administration (Accountancy)"/>
    <s v="Business"/>
    <x v="0"/>
  </r>
  <r>
    <x v="6"/>
    <s v="National University of Singapore"/>
    <s v="NUS Business School"/>
    <s v="Bachelor of Business Administration (Accountancy) (Hons)"/>
    <n v="97.2"/>
    <n v="94.4"/>
    <s v="Bachelor of Business Administration (Accountancy) (Hons)"/>
    <s v="Business"/>
    <x v="0"/>
  </r>
  <r>
    <x v="1"/>
    <s v="Nanyang Technological University"/>
    <s v="College of Business (Nanyang Business School)"/>
    <s v="Double Degree in Bachelor of Accountancy (Hons) and Bachelor of Business (Hons)"/>
    <n v="97.2"/>
    <n v="94.3"/>
    <s v="Double Degree in Bachelor of Accountancy (Hons) and Bachelor of Business (Hons)"/>
    <s v="Business"/>
    <x v="0"/>
  </r>
  <r>
    <x v="6"/>
    <s v="Nanyang Technological University"/>
    <s v="National Institute of Education (NIE)"/>
    <s v="Arts (with Education)"/>
    <n v="100"/>
    <n v="100"/>
    <s v="Arts (with Education)"/>
    <e v="#N/A"/>
    <x v="1"/>
  </r>
  <r>
    <x v="1"/>
    <s v="Nanyang Technological University"/>
    <s v="College of Business (Nanyang Business School)"/>
    <s v="Bachelor of Accountancy (Hons)"/>
    <n v="97.1"/>
    <n v="94.5"/>
    <s v="Bachelor of Accountancy (Hons)"/>
    <s v="Business"/>
    <x v="0"/>
  </r>
  <r>
    <x v="5"/>
    <s v="Nanyang Technological University"/>
    <s v="National Institute of Education (NIE)"/>
    <s v="Arts (with Education)"/>
    <n v="100"/>
    <n v="100"/>
    <s v="Arts (with Education)"/>
    <e v="#N/A"/>
    <x v="1"/>
  </r>
  <r>
    <x v="4"/>
    <s v="National University of Singapore"/>
    <s v="NUS Business School"/>
    <s v="Bachelor of Business Administration (Hons)"/>
    <n v="96.6"/>
    <n v="90.9"/>
    <s v="Bachelor of Business Administration (Hons)"/>
    <s v="Business"/>
    <x v="0"/>
  </r>
  <r>
    <x v="3"/>
    <s v="Nanyang Technological University"/>
    <s v="National Institute of Education (NIE)"/>
    <s v="Arts (with Education)"/>
    <n v="100"/>
    <n v="100"/>
    <s v="Arts (with Education)"/>
    <e v="#N/A"/>
    <x v="1"/>
  </r>
  <r>
    <x v="0"/>
    <s v="National University of Singapore"/>
    <s v="NUS Business School"/>
    <s v="Bachelor of Business Administration (Hons)"/>
    <n v="96.4"/>
    <n v="92.8"/>
    <s v="Bachelor of Business Administration (Hons)"/>
    <s v="Business"/>
    <x v="0"/>
  </r>
  <r>
    <x v="0"/>
    <s v="Nanyang Technological University"/>
    <s v="National Institute of Education (NIE)"/>
    <s v="Arts (with Education)"/>
    <n v="100"/>
    <n v="100"/>
    <s v="Arts (with Education)"/>
    <e v="#N/A"/>
    <x v="1"/>
  </r>
  <r>
    <x v="4"/>
    <s v="Nanyang Technological University"/>
    <s v="National Institute of Education (NIE)"/>
    <s v="Arts (With Education)"/>
    <n v="100"/>
    <n v="99.2"/>
    <s v="Arts (With Education)"/>
    <e v="#N/A"/>
    <x v="1"/>
  </r>
  <r>
    <x v="4"/>
    <s v="Singapore Institute of Technology"/>
    <s v="Singapore Institute of Technology (SIT)"/>
    <s v="Bachelor of Accountancy with Honours"/>
    <n v="96.3"/>
    <n v="91.5"/>
    <s v="Bachelor of Accountancy with Honours"/>
    <s v="Business"/>
    <x v="0"/>
  </r>
  <r>
    <x v="3"/>
    <s v="National University of Singapore"/>
    <s v="NUS Business School"/>
    <s v="Bachelor of Business Administration (Hons)"/>
    <n v="96"/>
    <n v="93.1"/>
    <s v="Bachelor of Business Administration (Hons)"/>
    <s v="Business"/>
    <x v="0"/>
  </r>
  <r>
    <x v="4"/>
    <s v="National University of Singapore"/>
    <s v="NUS Business School"/>
    <s v="Bachelor of Business Administration"/>
    <n v="95.7"/>
    <n v="84.8"/>
    <s v="Bachelor of Business Administration"/>
    <s v="Business"/>
    <x v="0"/>
  </r>
  <r>
    <x v="2"/>
    <s v="Nanyang Technological University"/>
    <s v="National Institute of Education (NIE)7"/>
    <s v="Arts (with Education) "/>
    <n v="100"/>
    <n v="100"/>
    <s v="Arts (with Education)"/>
    <e v="#N/A"/>
    <x v="1"/>
  </r>
  <r>
    <x v="3"/>
    <s v="Singapore Institute of Technology"/>
    <s v="Singapore Institute of Technology -Trinity College Dublin"/>
    <s v="Bachelor in Science (Diagnostic Radiography)"/>
    <n v="100"/>
    <n v="100"/>
    <s v="Bachelor in Science (Diagnostic Radiography)"/>
    <e v="#N/A"/>
    <x v="4"/>
  </r>
  <r>
    <x v="1"/>
    <s v="National University of Singapore"/>
    <s v="NUS Business School"/>
    <s v="Bachelor of Business Administration"/>
    <n v="94.9"/>
    <n v="87.3"/>
    <s v="Bachelor of Business Administration"/>
    <s v="Business"/>
    <x v="0"/>
  </r>
  <r>
    <x v="4"/>
    <s v="Singapore Institute of Technology"/>
    <s v="SIT-Trinity College Dublin / Trinity College Dublin"/>
    <s v="Bachelor in Science (Diagnostic Radiography) ^"/>
    <n v="95.8"/>
    <n v="87.5"/>
    <s v="Bachelor in Science (Diagnostic Radiography)"/>
    <e v="#N/A"/>
    <x v="4"/>
  </r>
  <r>
    <x v="6"/>
    <s v="National University of Singapore"/>
    <s v="NUS Business School"/>
    <s v="Bachelor of Business Administration (Hons)"/>
    <n v="94.6"/>
    <n v="90.3"/>
    <s v="Bachelor of Business Administration (Hons)"/>
    <s v="Business"/>
    <x v="0"/>
  </r>
  <r>
    <x v="5"/>
    <s v="National University of Singapore"/>
    <s v="NUS Business School"/>
    <s v="Bachelor of Business Administration (Hons)"/>
    <n v="94.4"/>
    <n v="90.6"/>
    <s v="Bachelor of Business Administration (Hons)"/>
    <s v="Business"/>
    <x v="0"/>
  </r>
  <r>
    <x v="0"/>
    <s v="Singapore Institute of Technology"/>
    <s v="Trinity College Dublin / Singapore Institute of Technology-Trinity College Dublin"/>
    <s v="Bachelor in Science (Diagnostic Radiography)"/>
    <n v="88.2"/>
    <n v="88.2"/>
    <s v="Bachelor in Science (Diagnostic Radiography)"/>
    <e v="#N/A"/>
    <x v="4"/>
  </r>
  <r>
    <x v="1"/>
    <s v="Singapore Institute of Technology"/>
    <s v="Singapore Institute of Technology"/>
    <s v="Bachelor of Accountancy with Honours"/>
    <n v="94.1"/>
    <n v="92.1"/>
    <s v="Bachelor of Accountancy with Honours"/>
    <s v="Business"/>
    <x v="0"/>
  </r>
  <r>
    <x v="4"/>
    <s v="Singapore University of Social Sciences"/>
    <s v="School of Business"/>
    <s v="Bachelor of Science in Marketing"/>
    <n v="94"/>
    <n v="84"/>
    <s v="Bachelor of Science in Marketing"/>
    <s v="Business"/>
    <x v="0"/>
  </r>
  <r>
    <x v="5"/>
    <s v="National University of Singapore"/>
    <s v="NUS Business School"/>
    <s v="Bachelor of Business Administration (Accountancy)"/>
    <n v="93.9"/>
    <n v="89.8"/>
    <s v="Bachelor of Business Administration (Accountancy)"/>
    <s v="Business"/>
    <x v="0"/>
  </r>
  <r>
    <x v="2"/>
    <s v="Singapore Institute of Technology"/>
    <s v="Singapore Institute of Technology (SIT)"/>
    <s v="Bachelor of Accountancy with Honours "/>
    <n v="93.7"/>
    <n v="89.2"/>
    <s v="Bachelor of Accountancy with Honours"/>
    <s v="Business"/>
    <x v="0"/>
  </r>
  <r>
    <x v="5"/>
    <s v="Singapore Institute of Technology"/>
    <s v="Trinity College Dublin"/>
    <s v="Bachelor in Science (Occupational Therapy)"/>
    <n v="100"/>
    <n v="100"/>
    <s v="Bachelor in Science (Occupational Therapy)"/>
    <e v="#N/A"/>
    <x v="4"/>
  </r>
  <r>
    <x v="0"/>
    <s v="National University of Singapore"/>
    <s v="NUS Business School"/>
    <s v="Bachelor of Business Administration"/>
    <n v="93.6"/>
    <n v="80.7"/>
    <s v="Bachelor of Business Administration"/>
    <s v="Business"/>
    <x v="0"/>
  </r>
  <r>
    <x v="6"/>
    <s v="National University of Singapore"/>
    <s v="NUS Business School"/>
    <s v="Bachelor of Business Administration (Accountancy)"/>
    <n v="93.3"/>
    <n v="88.9"/>
    <s v="Bachelor of Business Administration (Accountancy)"/>
    <s v="Business"/>
    <x v="0"/>
  </r>
  <r>
    <x v="1"/>
    <s v="Nanyang Technological University"/>
    <s v="College of Business (Nanyang Business School)"/>
    <s v="Bachelor of Business (Hons)"/>
    <n v="93"/>
    <n v="80.8"/>
    <s v="Bachelor of Business (Hons)"/>
    <s v="Business"/>
    <x v="0"/>
  </r>
  <r>
    <x v="3"/>
    <s v="Singapore Institute of Technology"/>
    <s v="The Culinary Institute of America"/>
    <s v="Bachelor of Professional Studies in Culinary Arts Management"/>
    <n v="92.6"/>
    <n v="81.5"/>
    <s v="Bachelor of Professional Studies in Culinary Arts Management"/>
    <s v="Business"/>
    <x v="0"/>
  </r>
  <r>
    <x v="1"/>
    <s v="Nanyang Technological University"/>
    <s v="College of Engineering"/>
    <s v="Bachelor of Science (Hons) (Maritime Studies)"/>
    <n v="92.2"/>
    <n v="92.2"/>
    <s v="Bachelor of Science (Hons) (Maritime Studies)"/>
    <s v="Business"/>
    <x v="0"/>
  </r>
  <r>
    <x v="4"/>
    <s v="Singapore Institute of Technology"/>
    <s v="Singapore Institute of Technology (SIT)"/>
    <s v="Bachelor of Hospitality Business with Honours"/>
    <n v="92.1"/>
    <n v="81.599999999999994"/>
    <s v="Bachelor of Hospitality Business with Honours"/>
    <s v="Business"/>
    <x v="0"/>
  </r>
  <r>
    <x v="2"/>
    <s v="Singapore University of Social Sciences"/>
    <s v="School of Business"/>
    <s v="Bachelor of Accountancy "/>
    <n v="91.100000000000009"/>
    <n v="83.3"/>
    <s v="Bachelor of Accountancy"/>
    <s v="Business"/>
    <x v="0"/>
  </r>
  <r>
    <x v="3"/>
    <s v="Singapore Institute of Technology"/>
    <s v="Trinity College Dublin"/>
    <s v="Bachelor in Science (Occupational Therapy)"/>
    <n v="100"/>
    <n v="100"/>
    <s v="Bachelor in Science (Occupational Therapy)"/>
    <e v="#N/A"/>
    <x v="4"/>
  </r>
  <r>
    <x v="5"/>
    <s v="Singapore Institute of Technology"/>
    <s v="The Culinary Institute of America"/>
    <s v="Bachelor of Professional Studies in Culinary Arts Management"/>
    <n v="89.3"/>
    <n v="89.3"/>
    <s v="Bachelor of Professional Studies in Culinary Arts Management"/>
    <s v="Business"/>
    <x v="0"/>
  </r>
  <r>
    <x v="6"/>
    <s v="National University of Singapore"/>
    <s v="NUS Business School"/>
    <s v="Bachelor of Business Administration"/>
    <n v="88.7"/>
    <n v="81.7"/>
    <s v="Bachelor of Business Administration"/>
    <s v="Business"/>
    <x v="0"/>
  </r>
  <r>
    <x v="0"/>
    <s v="National University of Singapore"/>
    <s v="NUS Business School"/>
    <s v="Bachelor of Business Administration (Accountancy)"/>
    <n v="88.6"/>
    <n v="86.4"/>
    <s v="Bachelor of Business Administration (Accountancy)"/>
    <s v="Business"/>
    <x v="0"/>
  </r>
  <r>
    <x v="3"/>
    <s v="National University of Singapore"/>
    <s v="NUS Business School"/>
    <s v="Bachelor of Business Administration"/>
    <n v="88.2"/>
    <n v="80.3"/>
    <s v="Bachelor of Business Administration"/>
    <s v="Business"/>
    <x v="0"/>
  </r>
  <r>
    <x v="4"/>
    <s v="Singapore University of Social Sciences"/>
    <s v="School of Business"/>
    <s v="Bachelor of Science in Finance"/>
    <n v="88"/>
    <n v="84"/>
    <s v="Bachelor of Science in Finance"/>
    <s v="Business"/>
    <x v="0"/>
  </r>
  <r>
    <x v="5"/>
    <s v="National University of Singapore"/>
    <s v="NUS Business School"/>
    <s v="Bachelor of Business Administration"/>
    <n v="87.9"/>
    <n v="83.6"/>
    <s v="Bachelor of Business Administration"/>
    <s v="Business"/>
    <x v="0"/>
  </r>
  <r>
    <x v="1"/>
    <s v="Singapore Institute of Technology"/>
    <s v="The Culinary Institute of America"/>
    <s v="Bachelor of Professional Studies in Culinary Arts Management"/>
    <n v="87.9"/>
    <n v="54.5"/>
    <s v="Bachelor of Professional Studies in Culinary Arts Management"/>
    <s v="Business"/>
    <x v="0"/>
  </r>
  <r>
    <x v="0"/>
    <s v="Singapore Institute of Technology"/>
    <s v="Trinity College Dublin / Singapore Institute of Technology-Trinity College Dublin"/>
    <s v="Bachelor in Science (Occupational Therapy)"/>
    <n v="100"/>
    <n v="100"/>
    <s v="Bachelor in Science (Occupational Therapy)"/>
    <e v="#N/A"/>
    <x v="4"/>
  </r>
  <r>
    <x v="4"/>
    <s v="Singapore Institute of Technology"/>
    <s v="The Culinary Institute of America"/>
    <s v="Bachelor of Business Administration in Food Business Management"/>
    <n v="86.5"/>
    <n v="64.900000000000006"/>
    <s v="Bachelor of Business Administration in Food Business Management"/>
    <s v="Business"/>
    <x v="0"/>
  </r>
  <r>
    <x v="0"/>
    <s v="Singapore Institute of Technology"/>
    <s v="The Culinary Institute of America"/>
    <s v="Bachelor of Professional Studies in Culinary Arts Management"/>
    <n v="86.2"/>
    <n v="69"/>
    <s v="Bachelor of Professional Studies in Culinary Arts Management"/>
    <s v="Business"/>
    <x v="0"/>
  </r>
  <r>
    <x v="2"/>
    <s v="National University of Singapore"/>
    <s v="NUS Business School"/>
    <s v="Bachelor of Business Administration (Accountancy) (Hons) "/>
    <n v="97.8"/>
    <n v="97.8"/>
    <s v="Bachelor of Business Administration (Accountancy) (Hons)"/>
    <s v="Business"/>
    <x v="0"/>
  </r>
  <r>
    <x v="2"/>
    <s v="National University of Singapore"/>
    <s v="NUS Business School"/>
    <s v="Bachelor of Business Administration (Hons) "/>
    <n v="95.5"/>
    <n v="91"/>
    <s v="Bachelor of Business Administration (Hons)"/>
    <s v="Business"/>
    <x v="0"/>
  </r>
  <r>
    <x v="4"/>
    <s v="National University of Singapore"/>
    <s v="NUS Business School"/>
    <s v="Bachelor of Business Administration (Accountancy) ^"/>
    <n v="95.2"/>
    <n v="95.2"/>
    <s v="Bachelor of Business Administration (Accountancy)"/>
    <s v="Business"/>
    <x v="0"/>
  </r>
  <r>
    <x v="1"/>
    <s v="Singapore Institute of Technology"/>
    <s v="Singapore Institute of Technology"/>
    <s v="Bachelor of Hospitality Business with Honours ^"/>
    <n v="94.7"/>
    <n v="84.2"/>
    <s v="Bachelor of Hospitality Business with Honours"/>
    <s v="Business"/>
    <x v="0"/>
  </r>
  <r>
    <x v="2"/>
    <s v="National University of Singapore"/>
    <s v="NUS Business School"/>
    <s v="Bachelor of Business Administration (Accountancy)* "/>
    <n v="93.8"/>
    <n v="93.8"/>
    <s v="Bachelor of Business Administration (Accountancy)"/>
    <s v="Business"/>
    <x v="0"/>
  </r>
  <r>
    <x v="2"/>
    <s v="Singapore Institute of Technology"/>
    <s v="Singapore Institute of Technology (SIT)"/>
    <s v="Bachelor of Hospitality Business with Honours "/>
    <n v="89.1"/>
    <n v="74.599999999999994"/>
    <s v="Bachelor of Hospitality Business with Honours"/>
    <s v="Business"/>
    <x v="0"/>
  </r>
  <r>
    <x v="2"/>
    <s v="Singapore University of Social Sciences"/>
    <s v="School of Business"/>
    <s v="Bachelor of Science in Finance "/>
    <n v="88.6"/>
    <n v="88.6"/>
    <s v="Bachelor of Science in Finance"/>
    <s v="Business"/>
    <x v="0"/>
  </r>
  <r>
    <x v="2"/>
    <s v="Singapore University of Social Sciences"/>
    <s v="School of Business"/>
    <s v="Bachelor of Science in Marketing "/>
    <n v="88.3"/>
    <n v="70"/>
    <s v="Bachelor of Science in Marketing"/>
    <s v="Business"/>
    <x v="0"/>
  </r>
  <r>
    <x v="2"/>
    <s v="Singapore University of Social Sciences"/>
    <s v="S R Nathan School of Human Development"/>
    <s v="Bachelor of Human Resource Management "/>
    <n v="87.1"/>
    <n v="74.2"/>
    <s v="Bachelor of Human Resource Management"/>
    <s v="Business"/>
    <x v="0"/>
  </r>
  <r>
    <x v="2"/>
    <s v="Singapore Institute of Technology"/>
    <s v="The Culinary Institute of America"/>
    <s v="Bachelor of Business Administration in Food Business Management * "/>
    <n v="81"/>
    <n v="61.9"/>
    <s v="Bachelor of Business Administration in Food Business Management"/>
    <s v="Business"/>
    <x v="0"/>
  </r>
  <r>
    <x v="0"/>
    <s v="Singapore University of Technology and Design"/>
    <s v="na"/>
    <s v="Bachelor of Engineering (Engineering Systems and Design)"/>
    <n v="100"/>
    <n v="93.5"/>
    <s v="Bachelor of Engineering (Engineering Systems and Design)"/>
    <s v="Engineering"/>
    <x v="3"/>
  </r>
  <r>
    <x v="3"/>
    <s v="National University of Singapore"/>
    <s v="Faculty of Engineering"/>
    <s v="Bachelor of Engineering (Materials Science and Engineering)"/>
    <n v="100"/>
    <n v="95"/>
    <s v="Bachelor of Engineering (Materials Science and Engineering)"/>
    <s v="Engineering"/>
    <x v="3"/>
  </r>
  <r>
    <x v="5"/>
    <s v="Singapore Institute of Technology"/>
    <s v="Newcastle University"/>
    <s v="Bachelor of Engineering with Honours in Naval Architecture"/>
    <n v="100"/>
    <n v="94.1"/>
    <s v="Bachelor of Engineering with Honours in Naval Architecture"/>
    <s v="Engineering"/>
    <x v="3"/>
  </r>
  <r>
    <x v="3"/>
    <s v="Singapore Institute of Technology"/>
    <s v="Newcastle University"/>
    <s v="Bachelor of Engineering with Honours in Naval Architecture"/>
    <n v="100"/>
    <n v="100"/>
    <s v="Bachelor of Engineering with Honours in Naval Architecture"/>
    <s v="Engineering"/>
    <x v="3"/>
  </r>
  <r>
    <x v="3"/>
    <s v="Singapore Institute of Technology"/>
    <s v="Newcastle University"/>
    <s v="Bachelor of Engineering with Honours in Offshore Engineering"/>
    <n v="100"/>
    <n v="94.7"/>
    <s v="Bachelor of Engineering with Honours in Offshore Engineering"/>
    <s v="Engineering"/>
    <x v="3"/>
  </r>
  <r>
    <x v="1"/>
    <s v="Singapore Institute of Technology"/>
    <s v="Singapore Institute of Technology -Trinity College Dublin / Trinity College Dublin"/>
    <s v="Bachelor in Science (Occupational Therapy)"/>
    <n v="100"/>
    <n v="97.1"/>
    <s v="Bachelor in Science (Occupational Therapy)"/>
    <e v="#N/A"/>
    <x v="4"/>
  </r>
  <r>
    <x v="2"/>
    <s v="Singapore Institute of Technology"/>
    <s v="SIT-Newcastle University"/>
    <s v="Bachelor of Engineering with Honours in Marine Engineering * "/>
    <n v="100"/>
    <n v="100"/>
    <s v="Bachelor of Engineering with Honours in Marine Engineering"/>
    <s v="Engineering"/>
    <x v="3"/>
  </r>
  <r>
    <x v="4"/>
    <s v="Singapore Institute of Technology"/>
    <s v="Newcastle University"/>
    <s v="Bachelor of Engineering with Honours in Naval Architecture ^"/>
    <n v="100"/>
    <n v="100"/>
    <s v="Bachelor of Engineering with Honours in Naval Architecture"/>
    <s v="Engineering"/>
    <x v="3"/>
  </r>
  <r>
    <x v="1"/>
    <s v="Singapore Institute of Technology"/>
    <s v="Newcastle University"/>
    <s v="Bachelor of Engineering with Honours in Offshore Engineering ^"/>
    <n v="100"/>
    <n v="86.7"/>
    <s v="Bachelor of Engineering with Honours in Offshore Engineering"/>
    <s v="Engineering"/>
    <x v="3"/>
  </r>
  <r>
    <x v="2"/>
    <s v="Singapore Institute of Technology"/>
    <s v="Singapore Institute of Technology (SIT)"/>
    <s v="Bachelor of Engineering with Honours in Telematics (Intelligent Transportation Systems Engineering) "/>
    <n v="100"/>
    <n v="97"/>
    <s v="Bachelor of Engineering with Honours in Telematics (Intelligent Transportation Systems Engineering)"/>
    <s v="Engineering"/>
    <x v="3"/>
  </r>
  <r>
    <x v="4"/>
    <s v="Singapore Institute of Technology"/>
    <s v="Singapore Institute of Technology (SIT)"/>
    <s v="Bachelor of Engineering with Honours in Sustainable Infrastructure Engineering (Land)"/>
    <n v="98.3"/>
    <n v="96.6"/>
    <s v="Bachelor of Engineering with Honours in Sustainable Infrastructure Engineering (Land)"/>
    <s v="Engineering"/>
    <x v="3"/>
  </r>
  <r>
    <x v="4"/>
    <s v="Singapore Institute of Technology"/>
    <s v="Newcastle University"/>
    <s v="Bachelor of Engineering with Honours in Marine Engineering"/>
    <n v="97.1"/>
    <n v="94.3"/>
    <s v="Bachelor of Engineering with Honours in Marine Engineering"/>
    <s v="Engineering"/>
    <x v="3"/>
  </r>
  <r>
    <x v="1"/>
    <s v="Singapore Institute of Technology"/>
    <s v="University of Glasgow"/>
    <s v="Bachelor of Engineering with Honours in Mechanical Design Engineering"/>
    <n v="96.6"/>
    <n v="87.9"/>
    <s v="Bachelor of Engineering with Honours in Mechanical Design Engineering"/>
    <s v="Engineering"/>
    <x v="3"/>
  </r>
  <r>
    <x v="5"/>
    <s v="National University of Singapore"/>
    <s v="Faculty of Engineering"/>
    <s v="Bachelor of Engineering (Industrial and Systems Engineering)"/>
    <n v="96.5"/>
    <n v="96.5"/>
    <s v="Bachelor of Engineering (Industrial and Systems Engineering)"/>
    <s v="Engineering"/>
    <x v="3"/>
  </r>
  <r>
    <x v="3"/>
    <s v="Singapore Institute of Technology"/>
    <s v="University of Glasgow"/>
    <s v="Bachelor of Engineering with Honours in Mechatronics"/>
    <n v="96.4"/>
    <n v="94.5"/>
    <s v="Bachelor of Engineering with Honours in Mechatronics"/>
    <s v="Engineering"/>
    <x v="3"/>
  </r>
  <r>
    <x v="3"/>
    <s v="National University of Singapore"/>
    <s v="Faculty of Engineering"/>
    <s v="Bachelor of Engineering (Industrial and Systems Engineering)"/>
    <n v="96.1"/>
    <n v="94.7"/>
    <s v="Bachelor of Engineering (Industrial and Systems Engineering)"/>
    <s v="Engineering"/>
    <x v="3"/>
  </r>
  <r>
    <x v="2"/>
    <s v="Singapore Institute of Technology"/>
    <s v="SIT-Trinity College Dublin / Trinity College Dublin"/>
    <s v="Bachelor in Science (Occupational Therapy) "/>
    <n v="100"/>
    <n v="100"/>
    <s v="Bachelor in Science (Occupational Therapy)"/>
    <e v="#N/A"/>
    <x v="4"/>
  </r>
  <r>
    <x v="4"/>
    <s v="Singapore Institute of Technology"/>
    <s v="SIT-Trinity College Dublin / Trinity College Dublin"/>
    <s v="Bachelor in Science (Occupational Therapy)"/>
    <n v="96.6"/>
    <n v="96.6"/>
    <s v="Bachelor in Science (Occupational Therapy)"/>
    <e v="#N/A"/>
    <x v="4"/>
  </r>
  <r>
    <x v="5"/>
    <s v="National University of Singapore"/>
    <s v="Faculty of Engineering"/>
    <s v="Bachelor of Engineering (Environmental Engineering)"/>
    <n v="95.2"/>
    <n v="92.9"/>
    <s v="Bachelor of Engineering (Environmental Engineering)"/>
    <s v="Engineering"/>
    <x v="3"/>
  </r>
  <r>
    <x v="0"/>
    <s v="Singapore Institute of Technology"/>
    <s v="Newcastle University"/>
    <s v="Bachelor of Engineering with Honours in Marine Engineering"/>
    <n v="95.2"/>
    <n v="81"/>
    <s v="Bachelor of Engineering with Honours in Marine Engineering"/>
    <s v="Engineering"/>
    <x v="3"/>
  </r>
  <r>
    <x v="5"/>
    <s v="Singapore Institute of Technology"/>
    <s v="Trinity College Dublin"/>
    <s v="Bachelor in Science (Physiotherapy)"/>
    <n v="100"/>
    <n v="100"/>
    <s v="Bachelor in Science (Physiotherapy)"/>
    <e v="#N/A"/>
    <x v="4"/>
  </r>
  <r>
    <x v="1"/>
    <s v="Singapore Institute of Technology"/>
    <s v="University of Glasgow"/>
    <s v="Bachelor of Engineering with Honours in Mechatronics"/>
    <n v="94.6"/>
    <n v="86.5"/>
    <s v="Bachelor of Engineering with Honours in Mechatronics"/>
    <s v="Engineering"/>
    <x v="3"/>
  </r>
  <r>
    <x v="4"/>
    <s v="Singapore Institute of Technology"/>
    <s v="Newcastle University"/>
    <s v="Bachelor of Engineering with Honours in Electrical Power Engineering"/>
    <n v="94.5"/>
    <n v="81.8"/>
    <s v="Bachelor of Engineering with Honours in Electrical Power Engineering"/>
    <s v="Engineering"/>
    <x v="3"/>
  </r>
  <r>
    <x v="1"/>
    <s v="Singapore Institute of Technology"/>
    <s v="Newcastle University"/>
    <s v="Bachelor of Engineering with Honours in Electrical Power Engineering"/>
    <n v="94.4"/>
    <n v="88.9"/>
    <s v="Bachelor of Engineering with Honours in Electrical Power Engineering"/>
    <s v="Engineering"/>
    <x v="3"/>
  </r>
  <r>
    <x v="4"/>
    <s v="Singapore Institute of Technology"/>
    <s v="University of Glasgow"/>
    <s v="Bachelor of Engineering with Honours in Mechanical Design Engineering"/>
    <n v="94.3"/>
    <n v="90.6"/>
    <s v="Bachelor of Engineering with Honours in Mechanical Design Engineering"/>
    <s v="Engineering"/>
    <x v="3"/>
  </r>
  <r>
    <x v="1"/>
    <s v="National University of Singapore"/>
    <s v="Faculty of Engineering"/>
    <s v="Bachelor of Engineering (Materials Science And Engineering)"/>
    <n v="94"/>
    <n v="86"/>
    <s v="Bachelor of Engineering (Materials Science And Engineering)"/>
    <s v="Engineering"/>
    <x v="3"/>
  </r>
  <r>
    <x v="6"/>
    <s v="National University of Singapore"/>
    <s v="Faculty of Engineering"/>
    <s v="Bachelor of Engineering (Industrial and Systems Engineering)"/>
    <n v="93.9"/>
    <n v="92.4"/>
    <s v="Bachelor of Engineering (Industrial and Systems Engineering)"/>
    <s v="Engineering"/>
    <x v="3"/>
  </r>
  <r>
    <x v="6"/>
    <s v="National University of Singapore"/>
    <s v="Faculty of Engineering"/>
    <s v="Bachelor of Engineering (Environmental Engineering)"/>
    <n v="93.8"/>
    <n v="87.5"/>
    <s v="Bachelor of Engineering (Environmental Engineering)"/>
    <s v="Engineering"/>
    <x v="3"/>
  </r>
  <r>
    <x v="4"/>
    <s v="Singapore Institute of Technology"/>
    <s v="University of Glasgow"/>
    <s v="Bachelor of Engineering with Honours in Mechatronics"/>
    <n v="93.7"/>
    <n v="87.3"/>
    <s v="Bachelor of Engineering with Honours in Mechatronics"/>
    <s v="Engineering"/>
    <x v="3"/>
  </r>
  <r>
    <x v="4"/>
    <s v="Singapore Institute of Technology"/>
    <s v="Newcastle University"/>
    <s v="Bachelor of Engineering with Honours in Mechanical Design and Manufacturing Engineering"/>
    <n v="93.5"/>
    <n v="82.3"/>
    <s v="Bachelor of Engineering with Honours in Mechanical Design and Manufacturing Engineering"/>
    <s v="Engineering"/>
    <x v="3"/>
  </r>
  <r>
    <x v="1"/>
    <s v="National University of Singapore"/>
    <s v="Faculty of Engineering"/>
    <s v="Bachelor of Engineering (Industrial and Systems Engineering)"/>
    <n v="93.3"/>
    <n v="89.9"/>
    <s v="Bachelor of Engineering (Industrial and Systems Engineering)"/>
    <s v="Engineering"/>
    <x v="3"/>
  </r>
  <r>
    <x v="6"/>
    <s v="National University of Singapore"/>
    <s v="Faculty of Engineering"/>
    <s v="Bachelor of Engineering (Chemical Engineering)"/>
    <n v="93.2"/>
    <n v="90"/>
    <s v="Bachelor of Engineering (Chemical Engineering)"/>
    <s v="Engineering"/>
    <x v="3"/>
  </r>
  <r>
    <x v="5"/>
    <s v="Singapore Institute of Technology"/>
    <s v="University of Glasgow"/>
    <s v="Bachelor of Engineering with Honours in Mechatronics"/>
    <n v="93"/>
    <n v="87.3"/>
    <s v="Bachelor of Engineering with Honours in Mechatronics"/>
    <s v="Engineering"/>
    <x v="3"/>
  </r>
  <r>
    <x v="4"/>
    <s v="National University of Singapore"/>
    <s v="Faculty of Engineering"/>
    <s v="Bachelor of Engineering (Mechanical Engineering)"/>
    <n v="92.8"/>
    <n v="86.9"/>
    <s v="Bachelor of Engineering (Mechanical Engineering)"/>
    <s v="Engineering"/>
    <x v="3"/>
  </r>
  <r>
    <x v="5"/>
    <s v="Singapore Institute of Technology"/>
    <s v="Newcastle University"/>
    <s v="Bachelor of Engineering with Honours in Marine Engineering"/>
    <n v="92.6"/>
    <n v="88.9"/>
    <s v="Bachelor of Engineering with Honours in Marine Engineering"/>
    <s v="Engineering"/>
    <x v="3"/>
  </r>
  <r>
    <x v="5"/>
    <s v="Singapore Institute of Technology"/>
    <s v="University of Glasgow"/>
    <s v="Bachelor of Engineering with Honours in Mechanical Design Engineering"/>
    <n v="92.3"/>
    <n v="92.3"/>
    <s v="Bachelor of Engineering with Honours in Mechanical Design Engineering"/>
    <s v="Engineering"/>
    <x v="3"/>
  </r>
  <r>
    <x v="3"/>
    <s v="National University of Singapore"/>
    <s v="Faculty of Engineering"/>
    <s v="Bachelor of Engineering (Electrical Engineering)"/>
    <n v="92.1"/>
    <n v="90.4"/>
    <s v="Bachelor of Engineering (Electrical Engineering)"/>
    <s v="Engineering"/>
    <x v="3"/>
  </r>
  <r>
    <x v="0"/>
    <s v="National University of Singapore"/>
    <s v="Faculty of Engineering"/>
    <s v="Bachelor of Engineering (Biomedical Engineering)"/>
    <n v="91.9"/>
    <n v="80.599999999999994"/>
    <s v="Bachelor of Engineering (Biomedical Engineering)"/>
    <s v="Engineering"/>
    <x v="3"/>
  </r>
  <r>
    <x v="0"/>
    <s v="National University of Singapore"/>
    <s v="Faculty of Engineering"/>
    <s v="Bachelor of Engineering (Electrical Engineering)"/>
    <n v="91.9"/>
    <n v="87.6"/>
    <s v="Bachelor of Engineering (Electrical Engineering)"/>
    <s v="Engineering"/>
    <x v="3"/>
  </r>
  <r>
    <x v="1"/>
    <s v="Singapore University of Technology and Design"/>
    <s v="na"/>
    <s v="Bachelor of Engineering (Engineering Systems and Design)"/>
    <n v="91.7"/>
    <n v="85.4"/>
    <s v="Bachelor of Engineering (Engineering Systems and Design)"/>
    <s v="Engineering"/>
    <x v="3"/>
  </r>
  <r>
    <x v="3"/>
    <s v="Singapore Institute of Technology"/>
    <s v="Newcastle University"/>
    <s v="Bachelor of Engineering with Honours in Marine Engineering"/>
    <n v="91.7"/>
    <n v="91.7"/>
    <s v="Bachelor of Engineering with Honours in Marine Engineering"/>
    <s v="Engineering"/>
    <x v="3"/>
  </r>
  <r>
    <x v="3"/>
    <s v="Singapore Institute of Technology"/>
    <s v="Trinity College Dublin"/>
    <s v="Bachelor in Science (Physiotherapy)"/>
    <n v="100"/>
    <n v="98.3"/>
    <s v="Bachelor in Science (Physiotherapy)"/>
    <e v="#N/A"/>
    <x v="4"/>
  </r>
  <r>
    <x v="4"/>
    <s v="National University of Singapore"/>
    <s v="Faculty of Engineering"/>
    <s v="Bachelor of Engineering (Industrial and Systems Engineering)"/>
    <n v="91.5"/>
    <n v="87.8"/>
    <s v="Bachelor of Engineering (Industrial and Systems Engineering)"/>
    <s v="Engineering"/>
    <x v="3"/>
  </r>
  <r>
    <x v="5"/>
    <s v="Singapore Institute of Technology"/>
    <s v="Newcastle University"/>
    <s v="Bachelor of Engineering with Honours in Offshore Engineering"/>
    <n v="91.3"/>
    <n v="91.3"/>
    <s v="Bachelor of Engineering with Honours in Offshore Engineering"/>
    <s v="Engineering"/>
    <x v="3"/>
  </r>
  <r>
    <x v="0"/>
    <s v="Singapore Institute of Technology"/>
    <s v="Trinity College Dublin / Singapore Institute of Technology-Trinity College Dublin"/>
    <s v="Bachelor in Science (Physiotherapy)"/>
    <n v="100"/>
    <n v="100"/>
    <s v="Bachelor in Science (Physiotherapy)"/>
    <e v="#N/A"/>
    <x v="4"/>
  </r>
  <r>
    <x v="4"/>
    <s v="National University of Singapore"/>
    <s v="Faculty of Engineering"/>
    <s v="Bachelor of Engineering (Electrical Engineering)"/>
    <n v="91"/>
    <n v="83.4"/>
    <s v="Bachelor of Engineering (Electrical Engineering)"/>
    <s v="Engineering"/>
    <x v="3"/>
  </r>
  <r>
    <x v="6"/>
    <s v="National University of Singapore"/>
    <s v="Faculty of Engineering"/>
    <s v="Bachelor of Engineering (Materials Science and Engineering)"/>
    <n v="90.9"/>
    <n v="87.9"/>
    <s v="Bachelor of Engineering (Materials Science and Engineering)"/>
    <s v="Engineering"/>
    <x v="3"/>
  </r>
  <r>
    <x v="1"/>
    <s v="National University of Singapore"/>
    <s v="Faculty of Engineering"/>
    <s v="Bachelor of Engineering (Biomedical Engineering)"/>
    <n v="90.6"/>
    <n v="81.3"/>
    <s v="Bachelor of Engineering (Biomedical Engineering)"/>
    <s v="Engineering"/>
    <x v="3"/>
  </r>
  <r>
    <x v="5"/>
    <s v="National University of Singapore"/>
    <s v="Faculty of Engineering"/>
    <s v="Bachelor of Engineering (Electrical Engineering)"/>
    <n v="90.6"/>
    <n v="88.1"/>
    <s v="Bachelor of Engineering (Electrical Engineering)"/>
    <s v="Engineering"/>
    <x v="3"/>
  </r>
  <r>
    <x v="0"/>
    <s v="National University of Singapore"/>
    <s v="Faculty of Engineering"/>
    <s v="Bachelor of Engineering (Materials Science And Engineering)"/>
    <n v="90.2"/>
    <n v="78.400000000000006"/>
    <s v="Bachelor of Engineering (Materials Science And Engineering)"/>
    <s v="Engineering"/>
    <x v="3"/>
  </r>
  <r>
    <x v="5"/>
    <s v="Singapore Institute of Technology"/>
    <s v="Newcastle University"/>
    <s v="Bachelor of Engineering with Honours in Chemical Engineering"/>
    <n v="90.1"/>
    <n v="84.5"/>
    <s v="Bachelor of Engineering with Honours in Chemical Engineering"/>
    <s v="Engineering"/>
    <x v="3"/>
  </r>
  <r>
    <x v="5"/>
    <s v="National University of Singapore"/>
    <s v="Faculty of Engineering"/>
    <s v="Bachelor of Engineering (Mechanical Engineering)"/>
    <n v="90"/>
    <n v="88.5"/>
    <s v="Bachelor of Engineering (Mechanical Engineering)"/>
    <s v="Engineering"/>
    <x v="3"/>
  </r>
  <r>
    <x v="0"/>
    <s v="Singapore Institute of Technology"/>
    <s v="Newcastle University"/>
    <s v="Bachelor of Engineering with Honours in Naval Architecture"/>
    <n v="90"/>
    <n v="90"/>
    <s v="Bachelor of Engineering with Honours in Naval Architecture"/>
    <s v="Engineering"/>
    <x v="3"/>
  </r>
  <r>
    <x v="4"/>
    <s v="National University of Singapore"/>
    <s v="Faculty of Engineering"/>
    <s v="Bachelor of Engineering (Chemical Engineering)"/>
    <n v="89.9"/>
    <n v="84.1"/>
    <s v="Bachelor of Engineering (Chemical Engineering)"/>
    <s v="Engineering"/>
    <x v="3"/>
  </r>
  <r>
    <x v="1"/>
    <s v="National University of Singapore"/>
    <s v="Faculty of Engineering"/>
    <s v="Bachelor of Engineering (Electrical Engineering)"/>
    <n v="89.4"/>
    <n v="86.5"/>
    <s v="Bachelor of Engineering (Electrical Engineering)"/>
    <s v="Engineering"/>
    <x v="3"/>
  </r>
  <r>
    <x v="6"/>
    <s v="National University of Singapore"/>
    <s v="Faculty of Engineering"/>
    <s v="Bachelor of Engineering (Mechanical Engineering)"/>
    <n v="89.1"/>
    <n v="87.2"/>
    <s v="Bachelor of Engineering (Mechanical Engineering)"/>
    <s v="Engineering"/>
    <x v="3"/>
  </r>
  <r>
    <x v="4"/>
    <s v="National University of Singapore"/>
    <s v="Faculty of Engineering"/>
    <s v="Bachelor of Engineering (Environmental Engineering)"/>
    <n v="88.9"/>
    <n v="74.599999999999994"/>
    <s v="Bachelor of Engineering (Environmental Engineering)"/>
    <s v="Engineering"/>
    <x v="3"/>
  </r>
  <r>
    <x v="0"/>
    <s v="Singapore Institute of Technology"/>
    <s v="University of Glasgow"/>
    <s v="Bachelor of Engineering with Honours in Mechatronics"/>
    <n v="88.7"/>
    <n v="80.3"/>
    <s v="Bachelor of Engineering with Honours in Mechatronics"/>
    <s v="Engineering"/>
    <x v="3"/>
  </r>
  <r>
    <x v="4"/>
    <s v="National University of Singapore"/>
    <s v="Faculty of Engineering"/>
    <s v="Bachelor of Engineering (Materials Science and Engineering)"/>
    <n v="88.6"/>
    <n v="86.4"/>
    <s v="Bachelor of Engineering (Materials Science and Engineering)"/>
    <s v="Engineering"/>
    <x v="3"/>
  </r>
  <r>
    <x v="6"/>
    <s v="National University of Singapore"/>
    <s v="Faculty of Engineering"/>
    <s v="Bachelor of Engineering (Electrical Engineering)"/>
    <n v="88.5"/>
    <n v="88"/>
    <s v="Bachelor of Engineering (Electrical Engineering)"/>
    <s v="Engineering"/>
    <x v="3"/>
  </r>
  <r>
    <x v="3"/>
    <s v="National University of Singapore"/>
    <s v="Faculty of Engineering"/>
    <s v="Bachelor of Engineering (Environmental Engineering)"/>
    <n v="88.1"/>
    <n v="85.7"/>
    <s v="Bachelor of Engineering (Environmental Engineering)"/>
    <s v="Engineering"/>
    <x v="3"/>
  </r>
  <r>
    <x v="5"/>
    <s v="Singapore Institute of Technology"/>
    <s v="University of Glasgow"/>
    <s v="Bachelor of Engineering with Honours in Aeronautical Engineering"/>
    <n v="88"/>
    <n v="88"/>
    <s v="Bachelor of Engineering with Honours in Aeronautical Engineering"/>
    <s v="Engineering"/>
    <x v="3"/>
  </r>
  <r>
    <x v="1"/>
    <s v="National University of Singapore"/>
    <s v="Faculty of Engineering"/>
    <s v="Bachelor of Engineering (Chemical Engineering)"/>
    <n v="87.8"/>
    <n v="81.3"/>
    <s v="Bachelor of Engineering (Chemical Engineering)"/>
    <s v="Engineering"/>
    <x v="3"/>
  </r>
  <r>
    <x v="1"/>
    <s v="Singapore Institute of Technology"/>
    <s v="Singapore Institute of Technology -Trinity College Dublin / Trinity College Dublin"/>
    <s v="Bachelor in Science (Physiotherapy)"/>
    <n v="100"/>
    <n v="96.8"/>
    <s v="Bachelor in Science (Physiotherapy)"/>
    <e v="#N/A"/>
    <x v="4"/>
  </r>
  <r>
    <x v="3"/>
    <s v="Singapore Institute of Technology"/>
    <s v="Technische Universität München"/>
    <s v="Bachelor of Science in Chemical Engineering"/>
    <n v="87.5"/>
    <n v="79.2"/>
    <s v="Bachelor of Science in Chemical Engineering"/>
    <s v="Engineering"/>
    <x v="3"/>
  </r>
  <r>
    <x v="4"/>
    <s v="Singapore Institute of Technology"/>
    <s v="SIT-Trinity College Dublin / Trinity College Dublin"/>
    <s v="Bachelor in Science (Physiotherapy)"/>
    <n v="100"/>
    <n v="100"/>
    <s v="Bachelor in Science (Physiotherapy)"/>
    <e v="#N/A"/>
    <x v="4"/>
  </r>
  <r>
    <x v="1"/>
    <s v="National University of Singapore"/>
    <s v="Faculty of Engineering"/>
    <s v="Bachelor of Engineering (Mechanical Engineering)"/>
    <n v="87.3"/>
    <n v="82.3"/>
    <s v="Bachelor of Engineering (Mechanical Engineering)"/>
    <s v="Engineering"/>
    <x v="3"/>
  </r>
  <r>
    <x v="0"/>
    <s v="Singapore Institute of Technology"/>
    <s v="University of Glasgow"/>
    <s v="Bachelor of Engineering with Honours in Mechanical Design Engineering"/>
    <n v="87"/>
    <n v="70.400000000000006"/>
    <s v="Bachelor of Engineering with Honours in Mechanical Design Engineering"/>
    <s v="Engineering"/>
    <x v="3"/>
  </r>
  <r>
    <x v="5"/>
    <s v="Singapore Institute of Technology"/>
    <s v="Technische Universität München"/>
    <s v="Bachelor of Science in Chemical Engineering"/>
    <n v="86.7"/>
    <n v="86.7"/>
    <s v="Bachelor of Science in Chemical Engineering"/>
    <s v="Engineering"/>
    <x v="3"/>
  </r>
  <r>
    <x v="0"/>
    <s v="National University of Singapore"/>
    <s v="Faculty of Engineering"/>
    <s v="Bachelor of Engineering (Mechanical Engineering)"/>
    <n v="86.6"/>
    <n v="81"/>
    <s v="Bachelor of Engineering (Mechanical Engineering)"/>
    <s v="Engineering"/>
    <x v="3"/>
  </r>
  <r>
    <x v="0"/>
    <s v="Singapore Institute of Technology"/>
    <s v="Newcastle University"/>
    <s v="Bachelor of Engineering with Honours in Electrical Power Engineering"/>
    <n v="86.4"/>
    <n v="79.7"/>
    <s v="Bachelor of Engineering with Honours in Electrical Power Engineering"/>
    <s v="Engineering"/>
    <x v="3"/>
  </r>
  <r>
    <x v="0"/>
    <s v="Singapore Institute of Technology"/>
    <s v="Newcastle University"/>
    <s v="Bachelor of Engineering with Honours in Offshore Engineering"/>
    <n v="86.4"/>
    <n v="72.7"/>
    <s v="Bachelor of Engineering with Honours in Offshore Engineering"/>
    <s v="Engineering"/>
    <x v="3"/>
  </r>
  <r>
    <x v="1"/>
    <s v="National University of Singapore"/>
    <s v="Faculty of Engineering"/>
    <s v="Bachelor of Engineering (Environmental Engineering)"/>
    <n v="86.3"/>
    <n v="71.2"/>
    <s v="Bachelor of Engineering (Environmental Engineering)"/>
    <s v="Engineering"/>
    <x v="3"/>
  </r>
  <r>
    <x v="3"/>
    <s v="National University of Singapore"/>
    <s v="Faculty of Engineering"/>
    <s v="Bachelor of Engineering (Biomedical Engineering)"/>
    <n v="86.2"/>
    <n v="75.900000000000006"/>
    <s v="Bachelor of Engineering (Biomedical Engineering)"/>
    <s v="Engineering"/>
    <x v="3"/>
  </r>
  <r>
    <x v="6"/>
    <s v="National University of Singapore"/>
    <s v="Faculty of Engineering"/>
    <s v="Bachelor of Engineering (Engineering Science)"/>
    <n v="86.2"/>
    <n v="75.900000000000006"/>
    <s v="Bachelor of Engineering (Engineering Science)"/>
    <s v="Engineering"/>
    <x v="3"/>
  </r>
  <r>
    <x v="2"/>
    <s v="Singapore Institute of Technology"/>
    <s v="SIT-Trinity College Dublin / Trinity College Dublin"/>
    <s v="Bachelor in Science (Physiotherapy) "/>
    <n v="98.3"/>
    <n v="98.3"/>
    <s v="Bachelor in Science (Physiotherapy)"/>
    <e v="#N/A"/>
    <x v="4"/>
  </r>
  <r>
    <x v="3"/>
    <s v="National University of Singapore"/>
    <s v="Faculty of Engineering"/>
    <s v="Bachelor of Engineering (Chemical Engineering)"/>
    <n v="86"/>
    <n v="82.9"/>
    <s v="Bachelor of Engineering (Chemical Engineering)"/>
    <s v="Engineering"/>
    <x v="3"/>
  </r>
  <r>
    <x v="0"/>
    <s v="Singapore Institute of Technology"/>
    <s v="Newcastle University"/>
    <s v="Bachelor of Engineering with Honours in Chemical Engineering"/>
    <n v="85.9"/>
    <n v="71.8"/>
    <s v="Bachelor of Engineering with Honours in Chemical Engineering"/>
    <s v="Engineering"/>
    <x v="3"/>
  </r>
  <r>
    <x v="6"/>
    <s v="National University of Singapore"/>
    <s v="Faculty of Science"/>
    <s v="Bachelor of Applied Science (Hons)"/>
    <n v="97.3"/>
    <n v="97.3"/>
    <s v="Bachelor of Applied Science (Hons)"/>
    <e v="#N/A"/>
    <x v="5"/>
  </r>
  <r>
    <x v="5"/>
    <s v="Singapore Institute of Technology"/>
    <s v="University of Glasgow"/>
    <s v="Bachelor of Engineering with Honours in Aerospace Systems"/>
    <n v="85.7"/>
    <n v="75"/>
    <s v="Bachelor of Engineering with Honours in Aerospace Systems"/>
    <s v="Engineering"/>
    <x v="3"/>
  </r>
  <r>
    <x v="3"/>
    <s v="Singapore Institute of Technology"/>
    <s v="Newcastle University"/>
    <s v="Bachelor of Engineering with Honours in Chemical Engineering"/>
    <n v="85.5"/>
    <n v="72.599999999999994"/>
    <s v="Bachelor of Engineering with Honours in Chemical Engineering"/>
    <s v="Engineering"/>
    <x v="3"/>
  </r>
  <r>
    <x v="0"/>
    <s v="National University of Singapore"/>
    <s v="Faculty Of Engineering"/>
    <s v="Bachelor of Engineering (Chemical Engineering)"/>
    <n v="85.3"/>
    <n v="80.3"/>
    <s v="Bachelor of Engineering (Chemical Engineering)"/>
    <s v="Engineering"/>
    <x v="3"/>
  </r>
  <r>
    <x v="0"/>
    <s v="National University of Singapore"/>
    <s v="Faculty Of Engineering"/>
    <s v="Bachelor of Engineering (Engineering Science)"/>
    <n v="85.2"/>
    <n v="74.099999999999994"/>
    <s v="Bachelor of Engineering (Engineering Science)"/>
    <s v="Engineering"/>
    <x v="3"/>
  </r>
  <r>
    <x v="1"/>
    <s v="Nanyang Technological University"/>
    <s v="College of Engineering"/>
    <s v="Bachelor of Engineering (Hons) (Materials Engineering)"/>
    <n v="84.9"/>
    <n v="75.599999999999994"/>
    <s v="Bachelor of Engineering (Hons) (Materials Engineering)"/>
    <s v="Engineering"/>
    <x v="3"/>
  </r>
  <r>
    <x v="5"/>
    <s v="National University of Singapore"/>
    <s v="Faculty of Science"/>
    <s v="Bachelor of Applied Science (Hons)"/>
    <n v="95.5"/>
    <n v="81.8"/>
    <s v="Bachelor of Applied Science (Hons)"/>
    <e v="#N/A"/>
    <x v="5"/>
  </r>
  <r>
    <x v="4"/>
    <s v="Singapore Institute of Technology"/>
    <s v="Newcastle University"/>
    <s v="Bachelor of Engineering with Honours in Chemical Engineering"/>
    <n v="84.6"/>
    <n v="76.900000000000006"/>
    <s v="Bachelor of Engineering with Honours in Chemical Engineering"/>
    <s v="Engineering"/>
    <x v="3"/>
  </r>
  <r>
    <x v="1"/>
    <s v="Singapore Institute of Technology"/>
    <s v="Technische Universität München"/>
    <s v="Bachelor of Science in Chemical Engineering"/>
    <n v="84.5"/>
    <n v="74.099999999999994"/>
    <s v="Bachelor of Science in Chemical Engineering"/>
    <s v="Engineering"/>
    <x v="3"/>
  </r>
  <r>
    <x v="3"/>
    <s v="National University of Singapore"/>
    <s v="Faculty of Science"/>
    <s v="Bachelor of Applied Science (Hons)"/>
    <n v="85.2"/>
    <n v="77.8"/>
    <s v="Bachelor of Applied Science (Hons)"/>
    <e v="#N/A"/>
    <x v="5"/>
  </r>
  <r>
    <x v="5"/>
    <s v="National University of Singapore"/>
    <s v="Faculty of Engineering"/>
    <s v="Bachelor of Engineering (Chemical Engineering)"/>
    <n v="83.9"/>
    <n v="76.400000000000006"/>
    <s v="Bachelor of Engineering (Chemical Engineering)"/>
    <s v="Engineering"/>
    <x v="3"/>
  </r>
  <r>
    <x v="4"/>
    <s v="Singapore Institute of Technology"/>
    <s v="Technische Universität München"/>
    <s v="Bachelor of Science in Chemical Engineering"/>
    <n v="83.7"/>
    <n v="75.5"/>
    <s v="Bachelor of Science in Chemical Engineering"/>
    <s v="Engineering"/>
    <x v="3"/>
  </r>
  <r>
    <x v="3"/>
    <s v="National University of Singapore"/>
    <s v="Faculty of Engineering"/>
    <s v="Bachelor of Engineering (Mechanical Engineering)"/>
    <n v="83.3"/>
    <n v="80"/>
    <s v="Bachelor of Engineering (Mechanical Engineering)"/>
    <s v="Engineering"/>
    <x v="3"/>
  </r>
  <r>
    <x v="3"/>
    <s v="Singapore Institute of Technology"/>
    <s v="University of Glasgow"/>
    <s v="Bachelor of Engineering with Honours in Aerospace Systems"/>
    <n v="83.3"/>
    <n v="70.8"/>
    <s v="Bachelor of Engineering with Honours in Aerospace Systems"/>
    <s v="Engineering"/>
    <x v="3"/>
  </r>
  <r>
    <x v="3"/>
    <s v="Singapore Institute of Technology"/>
    <s v="Newcastle University"/>
    <s v="Bachelor of Engineering with Honours in Electrical Power Engineering"/>
    <n v="83"/>
    <n v="77.400000000000006"/>
    <s v="Bachelor of Engineering with Honours in Electrical Power Engineering"/>
    <s v="Engineering"/>
    <x v="3"/>
  </r>
  <r>
    <x v="1"/>
    <s v="Nanyang Technological University"/>
    <s v="College of Engineering"/>
    <s v="Bachelor of Engineering (Hons) (Mechanical Engineering)"/>
    <n v="82.7"/>
    <n v="74.900000000000006"/>
    <s v="Bachelor of Engineering (Hons) (Mechanical Engineering)"/>
    <s v="Engineering"/>
    <x v="3"/>
  </r>
  <r>
    <x v="3"/>
    <s v="National University of Singapore"/>
    <s v="Faculty of Engineering"/>
    <s v="Bachelor of Engineering (Engineering Science)"/>
    <n v="82.6"/>
    <n v="73.900000000000006"/>
    <s v="Bachelor of Engineering (Engineering Science)"/>
    <s v="Engineering"/>
    <x v="3"/>
  </r>
  <r>
    <x v="1"/>
    <s v="National University of Singapore"/>
    <s v="Faculty of Science"/>
    <s v="Bachelor of Applied Science (Hons)"/>
    <n v="82.1"/>
    <n v="50"/>
    <s v="Bachelor of Applied Science (Hons)"/>
    <e v="#N/A"/>
    <x v="5"/>
  </r>
  <r>
    <x v="0"/>
    <s v="National University of Singapore"/>
    <s v="Faculty of Science"/>
    <s v="Bachelor of Applied Science (Hons)"/>
    <n v="81"/>
    <n v="61.9"/>
    <s v="Bachelor of Applied Science (Hons)"/>
    <e v="#N/A"/>
    <x v="5"/>
  </r>
  <r>
    <x v="4"/>
    <s v="Singapore Institute of Technology"/>
    <s v="University of Glasgow"/>
    <s v="Bachelor of Engineering with Honours in Aerospace Systems"/>
    <n v="82.4"/>
    <n v="61.8"/>
    <s v="Bachelor of Engineering with Honours in Aerospace Systems"/>
    <s v="Engineering"/>
    <x v="3"/>
  </r>
  <r>
    <x v="0"/>
    <s v="Singapore Institute of Technology"/>
    <s v="University of Glasgow"/>
    <s v="Bachelor of Engineering with Honours in Aerospace Systems"/>
    <n v="82.2"/>
    <n v="64.400000000000006"/>
    <s v="Bachelor of Engineering with Honours in Aerospace Systems"/>
    <s v="Engineering"/>
    <x v="3"/>
  </r>
  <r>
    <x v="3"/>
    <s v="Singapore Institute of Technology"/>
    <s v="University of Glasgow"/>
    <s v="Bachelor of Engineering with Honours in Aeronautical Engineering"/>
    <n v="81.599999999999994"/>
    <n v="73.7"/>
    <s v="Bachelor of Engineering with Honours in Aeronautical Engineering"/>
    <s v="Engineering"/>
    <x v="3"/>
  </r>
  <r>
    <x v="0"/>
    <s v="Singapore Institute of Technology"/>
    <s v="University of Glasgow"/>
    <s v="Bachelor of Engineering with Honours in Aeronautical Engineering"/>
    <n v="81.599999999999994"/>
    <n v="65.3"/>
    <s v="Bachelor of Engineering with Honours in Aeronautical Engineering"/>
    <s v="Engineering"/>
    <x v="3"/>
  </r>
  <r>
    <x v="2"/>
    <s v="National University of Singapore"/>
    <s v="School of Design &amp; Environment"/>
    <s v="Bachelor of Arts (Architecture)6 "/>
    <n v="100"/>
    <n v="96"/>
    <s v="Bachelor of Arts (Architecture)6"/>
    <e v="#N/A"/>
    <x v="2"/>
  </r>
  <r>
    <x v="5"/>
    <s v="National University of Singapore"/>
    <s v="Faculty of Engineering"/>
    <s v="Bachelor of Engineering (Engineering Science)"/>
    <n v="81.3"/>
    <n v="62.5"/>
    <s v="Bachelor of Engineering (Engineering Science)"/>
    <s v="Engineering"/>
    <x v="3"/>
  </r>
  <r>
    <x v="1"/>
    <s v="Singapore Institute of Technology"/>
    <s v="University of Glasgow"/>
    <s v="Bachelor of Engineering with Honours in Aeronautical Engineering"/>
    <n v="81.3"/>
    <n v="65.599999999999994"/>
    <s v="Bachelor of Engineering with Honours in Aeronautical Engineering"/>
    <s v="Engineering"/>
    <x v="3"/>
  </r>
  <r>
    <x v="3"/>
    <s v="Singapore University of Technology and Design"/>
    <s v="na"/>
    <s v="Bachelor of Engineering (Engineering Systems and Design)"/>
    <n v="80.3"/>
    <n v="71.8"/>
    <s v="Bachelor of Engineering (Engineering Systems and Design)"/>
    <s v="Engineering"/>
    <x v="3"/>
  </r>
  <r>
    <x v="0"/>
    <s v="National University of Singapore"/>
    <s v="Faculty Of Engineering"/>
    <s v="Bachelor of Engineering (Industrial and Systems Engineering)"/>
    <n v="80.3"/>
    <n v="78.900000000000006"/>
    <s v="Bachelor of Engineering (Industrial and Systems Engineering)"/>
    <s v="Engineering"/>
    <x v="3"/>
  </r>
  <r>
    <x v="1"/>
    <s v="Singapore Institute of Technology"/>
    <s v="University of Glasgow"/>
    <s v="Bachelor of Engineering with Honours in Aerospace Systems"/>
    <n v="80"/>
    <n v="52.5"/>
    <s v="Bachelor of Engineering with Honours in Aerospace Systems"/>
    <s v="Engineering"/>
    <x v="3"/>
  </r>
  <r>
    <x v="4"/>
    <s v="National University of Singapore"/>
    <s v="Faculty of Engineering"/>
    <s v="Bachelor of Engineering (Biomedical Engineering)"/>
    <n v="79.400000000000006"/>
    <n v="69.8"/>
    <s v="Bachelor of Engineering (Biomedical Engineering)"/>
    <s v="Engineering"/>
    <x v="3"/>
  </r>
  <r>
    <x v="0"/>
    <s v="National University of Singapore"/>
    <s v="Faculty Of Engineering"/>
    <s v="Bachelor of Engineering (Environmental Engineering)"/>
    <n v="79.3"/>
    <n v="65.5"/>
    <s v="Bachelor of Engineering (Environmental Engineering)"/>
    <s v="Engineering"/>
    <x v="3"/>
  </r>
  <r>
    <x v="5"/>
    <s v="National University of Singapore"/>
    <s v="Faculty of Engineering"/>
    <s v="Bachelor of Engineering (Materials Science and Engineering)"/>
    <n v="78.599999999999994"/>
    <n v="73.8"/>
    <s v="Bachelor of Engineering (Materials Science and Engineering)"/>
    <s v="Engineering"/>
    <x v="3"/>
  </r>
  <r>
    <x v="0"/>
    <s v="Singapore Institute of Technology"/>
    <s v="Technische Universität München"/>
    <s v="Bachelor of Science in Chemical Engineering"/>
    <n v="78.599999999999994"/>
    <n v="67.900000000000006"/>
    <s v="Bachelor of Science in Chemical Engineering"/>
    <s v="Engineering"/>
    <x v="3"/>
  </r>
  <r>
    <x v="1"/>
    <s v="Nanyang Technological University"/>
    <s v="College of Engineering"/>
    <s v="Bachelor of Engineering (Hons) (Bioengineering)"/>
    <n v="78.3"/>
    <n v="65.2"/>
    <s v="Bachelor of Engineering (Hons) (Bioengineering)"/>
    <s v="Engineering"/>
    <x v="3"/>
  </r>
  <r>
    <x v="4"/>
    <s v="Singapore Institute of Technology"/>
    <s v="University of Glasgow"/>
    <s v="Bachelor of Engineering with Honours in Aeronautical Engineering"/>
    <n v="78"/>
    <n v="70.7"/>
    <s v="Bachelor of Engineering with Honours in Aeronautical Engineering"/>
    <s v="Engineering"/>
    <x v="3"/>
  </r>
  <r>
    <x v="1"/>
    <s v="Singapore Institute of Technology"/>
    <s v="Newcastle University"/>
    <s v="Bachelor of Engineering with Honours in Chemical Engineering"/>
    <n v="77.3"/>
    <n v="62.1"/>
    <s v="Bachelor of Engineering with Honours in Chemical Engineering"/>
    <s v="Engineering"/>
    <x v="3"/>
  </r>
  <r>
    <x v="1"/>
    <s v="National University of Singapore"/>
    <s v="Faculty Of Engineering"/>
    <s v="Bachelor of Engineering (Engineering Science)"/>
    <n v="76.5"/>
    <n v="64.7"/>
    <s v="Bachelor of Engineering (Engineering Science)"/>
    <s v="Engineering"/>
    <x v="3"/>
  </r>
  <r>
    <x v="3"/>
    <s v="Singapore Institute of Technology"/>
    <s v="University of Glasgow"/>
    <s v="Bachelor of Engineering with Honours in Mechanical Design Engineering"/>
    <n v="72.2"/>
    <n v="61.1"/>
    <s v="Bachelor of Engineering with Honours in Mechanical Design Engineering"/>
    <s v="Engineering"/>
    <x v="3"/>
  </r>
  <r>
    <x v="1"/>
    <s v="Nanyang Technological University"/>
    <s v="College of Engineering"/>
    <s v="Bachelor of Engineering (Hons) (Environmental Engineering)"/>
    <n v="71.8"/>
    <n v="64.099999999999994"/>
    <s v="Bachelor of Engineering (Hons) (Environmental Engineering)"/>
    <s v="Engineering"/>
    <x v="3"/>
  </r>
  <r>
    <x v="2"/>
    <s v="National University of Singapore"/>
    <s v="Faculty of Engineering"/>
    <s v="Bachelor of Engineering (Industrial and Systems Engineering) "/>
    <n v="97.6"/>
    <n v="96.5"/>
    <s v="Bachelor of Engineering (Industrial and Systems Engineering)"/>
    <s v="Engineering"/>
    <x v="3"/>
  </r>
  <r>
    <x v="2"/>
    <s v="Singapore Institute of Technology"/>
    <s v="University of Glasgow"/>
    <s v="Bachelor of Engineering with Honours in Mechanical Design Engineering "/>
    <n v="97"/>
    <n v="93.899999999999991"/>
    <s v="Bachelor of Engineering with Honours in Mechanical Design Engineering"/>
    <s v="Engineering"/>
    <x v="3"/>
  </r>
  <r>
    <x v="1"/>
    <s v="Singapore Institute of Technology"/>
    <s v="Newcastle University"/>
    <s v="Bachelor of Engineering with Honours in Marine Engineering ^"/>
    <n v="96.2"/>
    <n v="88.5"/>
    <s v="Bachelor of Engineering with Honours in Marine Engineering"/>
    <s v="Engineering"/>
    <x v="3"/>
  </r>
  <r>
    <x v="1"/>
    <s v="Singapore Institute of Technology"/>
    <s v="Newcastle University"/>
    <s v="Bachelor of Engineering with Honours in Naval Architecture ^"/>
    <n v="95.5"/>
    <n v="95.5"/>
    <s v="Bachelor of Engineering with Honours in Naval Architecture"/>
    <s v="Engineering"/>
    <x v="3"/>
  </r>
  <r>
    <x v="2"/>
    <s v="Singapore Institute of Technology"/>
    <s v="Singapore Institute of Technology (SIT)"/>
    <s v="Bachelor of Engineering with Honours in Sustainable Infrastructure Engineering (Land) "/>
    <n v="93.8"/>
    <n v="90.600000000000009"/>
    <s v="Bachelor of Engineering with Honours in Sustainable Infrastructure Engineering (Land)"/>
    <s v="Engineering"/>
    <x v="3"/>
  </r>
  <r>
    <x v="2"/>
    <s v="Singapore Institute of Technology"/>
    <s v="University of Glasgow"/>
    <s v="Bachelor of Engineering with Honours in Mechatronics "/>
    <n v="93.2"/>
    <n v="83.1"/>
    <s v="Bachelor of Engineering with Honours in Mechatronics"/>
    <s v="Engineering"/>
    <x v="3"/>
  </r>
  <r>
    <x v="2"/>
    <s v="Singapore Institute of Technology"/>
    <s v="SIT-Massey University"/>
    <s v="Bachelor of Food Technology with Honours "/>
    <n v="93"/>
    <n v="88.4"/>
    <s v="Bachelor of Food Technology with Honours"/>
    <s v="Engineering"/>
    <x v="3"/>
  </r>
  <r>
    <x v="2"/>
    <s v="National University of Singapore"/>
    <s v="Faculty of Engineering"/>
    <s v="Bachelor of Engineering (Chemical Engineering) "/>
    <n v="92.4"/>
    <n v="86.7"/>
    <s v="Bachelor of Engineering (Chemical Engineering)"/>
    <s v="Engineering"/>
    <x v="3"/>
  </r>
  <r>
    <x v="4"/>
    <s v="Singapore Institute of Technology"/>
    <s v="Newcastle University"/>
    <s v="Bachelor of Engineering with Honours in Offshore Engineering ^"/>
    <n v="92.3"/>
    <n v="84.6"/>
    <s v="Bachelor of Engineering with Honours in Offshore Engineering"/>
    <s v="Engineering"/>
    <x v="3"/>
  </r>
  <r>
    <x v="2"/>
    <s v="Singapore Institute of Technology"/>
    <s v="Singapore Institute of Technology (SIT)"/>
    <s v="Bachelor of Engineering with Honours in Pharmaceutical Engineering "/>
    <n v="92.2"/>
    <n v="90.600000000000009"/>
    <s v="Bachelor of Engineering with Honours in Pharmaceutical Engineering"/>
    <s v="Engineering"/>
    <x v="3"/>
  </r>
  <r>
    <x v="2"/>
    <s v="Singapore Institute of Technology"/>
    <s v="SIT-Newcastle University"/>
    <s v="Bachelor of Engineering with Honours in Electrical Power Engineering * "/>
    <n v="91.3"/>
    <n v="82.6"/>
    <s v="Bachelor of Engineering with Honours in Electrical Power Engineering"/>
    <s v="Engineering"/>
    <x v="3"/>
  </r>
  <r>
    <x v="2"/>
    <s v="Singapore University of Technology and Design"/>
    <m/>
    <s v="Bachelor of Engineering (Engineering Systems and Design) "/>
    <n v="89.9"/>
    <n v="87.3"/>
    <s v="Bachelor of Engineering (Engineering Systems and Design)"/>
    <s v="Engineering"/>
    <x v="3"/>
  </r>
  <r>
    <x v="2"/>
    <s v="National University of Singapore"/>
    <s v="Faculty of Engineering"/>
    <s v="Bachelor of Engineering (Electrical Engineering) "/>
    <n v="89.600000000000009"/>
    <n v="85.2"/>
    <s v="Bachelor of Engineering (Electrical Engineering)"/>
    <s v="Engineering"/>
    <x v="3"/>
  </r>
  <r>
    <x v="2"/>
    <s v="National University of Singapore"/>
    <s v="Faculty of Engineering"/>
    <s v="Bachelor of Engineering (Environmental Engineering) "/>
    <n v="89.5"/>
    <n v="80.7"/>
    <s v="Bachelor of Engineering (Environmental Engineering)"/>
    <s v="Engineering"/>
    <x v="3"/>
  </r>
  <r>
    <x v="2"/>
    <s v="National University of Singapore"/>
    <s v="Faculty of Engineering"/>
    <s v="Bachelor of Engineering (Mechanical Engineering) "/>
    <n v="88.6"/>
    <n v="86.7"/>
    <s v="Bachelor of Engineering (Mechanical Engineering)"/>
    <s v="Engineering"/>
    <x v="3"/>
  </r>
  <r>
    <x v="5"/>
    <s v="National University of Singapore"/>
    <s v="Faculty of Engineering"/>
    <s v="Bachelor of Engineering (Biomedical Engineering) ^^"/>
    <n v="87.5"/>
    <n v="77.099999999999994"/>
    <s v="Bachelor of Engineering (Biomedical Engineering)"/>
    <s v="Engineering"/>
    <x v="3"/>
  </r>
  <r>
    <x v="2"/>
    <s v="National University of Singapore"/>
    <s v="Faculty of Engineering"/>
    <s v="Bachelor of Engineering (Engineering Science)* "/>
    <n v="84.6"/>
    <n v="84.6"/>
    <s v="Bachelor of Engineering (Engineering Science)"/>
    <s v="Engineering"/>
    <x v="3"/>
  </r>
  <r>
    <x v="2"/>
    <s v="Singapore Institute of Technology"/>
    <s v="University of Glasgow"/>
    <s v="Bachelor of Engineering with Honours in Aerospace Systems "/>
    <n v="82.399999999999991"/>
    <n v="67.600000000000009"/>
    <s v="Bachelor of Engineering with Honours in Aerospace Systems"/>
    <s v="Engineering"/>
    <x v="3"/>
  </r>
  <r>
    <x v="1"/>
    <s v="Nanyang Technological University"/>
    <s v="College of Engineering"/>
    <s v="Bachelor of Engineering  (Hons) (Chemical And Biomolecular Engineering)"/>
    <n v="82.3"/>
    <n v="75.3"/>
    <s v="Bachelor of Engineering (Hons) (Chemical And Biomolecular Engineering)"/>
    <s v="Engineering"/>
    <x v="3"/>
  </r>
  <r>
    <x v="2"/>
    <s v="Singapore Institute of Technology"/>
    <s v="SIT-Newcastle University"/>
    <s v="Bachelor of Engineering with Honours in Chemical Engineering "/>
    <n v="82.199999999999989"/>
    <n v="73.3"/>
    <s v="Bachelor of Engineering with Honours in Chemical Engineering"/>
    <s v="Engineering"/>
    <x v="3"/>
  </r>
  <r>
    <x v="2"/>
    <s v="Singapore Institute of Technology"/>
    <s v="Technische Universität München"/>
    <s v="Bachelor of Science in Chemical Engineering "/>
    <n v="81.8"/>
    <n v="77.3"/>
    <s v="Bachelor of Science in Chemical Engineering"/>
    <s v="Engineering"/>
    <x v="3"/>
  </r>
  <r>
    <x v="2"/>
    <s v="National University of Singapore"/>
    <s v="Faculty of Engineering"/>
    <s v="Bachelor of Engineering (Biomedical Engineering)"/>
    <n v="80.400000000000006"/>
    <n v="68.600000000000009"/>
    <s v="Bachelor of Engineering (Biomedical Engineering)"/>
    <s v="Engineering"/>
    <x v="3"/>
  </r>
  <r>
    <x v="2"/>
    <s v="Singapore Institute of Technology"/>
    <s v="SIT-Newcastle University"/>
    <s v="Bachelor of Engineering with Honours in Mechanical Design and Manufacturing Engineering * "/>
    <n v="80"/>
    <n v="66.7"/>
    <s v="Bachelor of Engineering with Honours in Mechanical Design and Manufacturing Engineering"/>
    <s v="Engineering"/>
    <x v="3"/>
  </r>
  <r>
    <x v="2"/>
    <s v="National University of Singapore"/>
    <s v="Faculty of Engineering"/>
    <s v="Bachelor of Engineering (Materials Science and Engineering) "/>
    <n v="78.600000000000009"/>
    <n v="76.2"/>
    <s v="Bachelor of Engineering (Materials Science and Engineering)"/>
    <s v="Engineering"/>
    <x v="3"/>
  </r>
  <r>
    <x v="2"/>
    <s v="Singapore Institute of Technology"/>
    <s v="University of Glasgow"/>
    <s v="Bachelor of Engineering with Honours in Aeronautical Engineering "/>
    <n v="77.100000000000009"/>
    <n v="64.600000000000009"/>
    <s v="Bachelor of Engineering with Honours in Aeronautical Engineering"/>
    <s v="Engineering"/>
    <x v="3"/>
  </r>
  <r>
    <x v="1"/>
    <s v="Nanyang Technological University"/>
    <s v="National Institute of Education (NIE)"/>
    <s v="Bachelor of Arts (Hons) (Education)"/>
    <n v="100"/>
    <n v="100"/>
    <s v="Bachelor of Arts (Hons) (Education)"/>
    <e v="#N/A"/>
    <x v="1"/>
  </r>
  <r>
    <x v="2"/>
    <s v="National University of Singapore"/>
    <s v="Yale-NUS College"/>
    <s v="Bachelor of Arts with Honours "/>
    <n v="96"/>
    <n v="77"/>
    <s v="Bachelor of Arts with Honours"/>
    <e v="#N/A"/>
    <x v="1"/>
  </r>
  <r>
    <x v="1"/>
    <s v="National University of Singapore"/>
    <s v="Yale-NUS College"/>
    <s v="Bachelor of Arts with Honours"/>
    <n v="93.5"/>
    <n v="76.599999999999994"/>
    <s v="Bachelor of Arts with Honours"/>
    <e v="#N/A"/>
    <x v="1"/>
  </r>
  <r>
    <x v="4"/>
    <s v="National University of Singapore"/>
    <s v="Yale-NUS College"/>
    <s v="Bachelor of Arts with Honours"/>
    <n v="90.5"/>
    <n v="81.099999999999994"/>
    <s v="Bachelor of Arts with Honours"/>
    <e v="#N/A"/>
    <x v="1"/>
  </r>
  <r>
    <x v="3"/>
    <s v="National University of Singapore"/>
    <s v="School of Computing"/>
    <s v="Bachelor of Computing (Communications and Media)"/>
    <n v="92.6"/>
    <n v="85.2"/>
    <s v="Bachelor of Computing (Communications and Media)"/>
    <e v="#N/A"/>
    <x v="6"/>
  </r>
  <r>
    <x v="6"/>
    <s v="National University of Singapore"/>
    <s v="School of Computing"/>
    <s v="Bachelor of Computing (Communications and Media)"/>
    <n v="88.9"/>
    <n v="77.8"/>
    <s v="Bachelor of Computing (Communications and Media)"/>
    <e v="#N/A"/>
    <x v="6"/>
  </r>
  <r>
    <x v="5"/>
    <s v="National University of Singapore"/>
    <s v="School of Computing"/>
    <s v="Bachelor of Computing (Communications and Media)"/>
    <n v="82.1"/>
    <n v="82.1"/>
    <s v="Bachelor of Computing (Communications and Media)"/>
    <e v="#N/A"/>
    <x v="6"/>
  </r>
  <r>
    <x v="3"/>
    <s v="National University of Singapore"/>
    <s v="School of Computing"/>
    <s v="Bachelor of Computing (Electronic Commerce)"/>
    <n v="90.3"/>
    <n v="87.1"/>
    <s v="Bachelor of Computing (Electronic Commerce)"/>
    <e v="#N/A"/>
    <x v="6"/>
  </r>
  <r>
    <x v="6"/>
    <s v="National University of Singapore"/>
    <s v="School of Computing"/>
    <s v="Bachelor of Computing (Electronic Commerce)"/>
    <n v="88.9"/>
    <n v="83.3"/>
    <s v="Bachelor of Computing (Electronic Commerce)"/>
    <e v="#N/A"/>
    <x v="6"/>
  </r>
  <r>
    <x v="5"/>
    <s v="National University of Singapore"/>
    <s v="School of Computing"/>
    <s v="Bachelor of Computing (Electronic Commerce)"/>
    <n v="85.7"/>
    <n v="85.7"/>
    <s v="Bachelor of Computing (Electronic Commerce)"/>
    <e v="#N/A"/>
    <x v="6"/>
  </r>
  <r>
    <x v="6"/>
    <s v="National University of Singapore"/>
    <s v="Faculty of Dentistry"/>
    <s v="Bachelor of Dental Surgery"/>
    <n v="100"/>
    <n v="100"/>
    <s v="Bachelor of Dental Surgery"/>
    <e v="#N/A"/>
    <x v="4"/>
  </r>
  <r>
    <x v="5"/>
    <s v="National University of Singapore"/>
    <s v="YLL School of Medicine"/>
    <s v="Bachelor of Science (Nursing)"/>
    <n v="100"/>
    <n v="95.6"/>
    <s v="Bachelor of Science (Nursing)"/>
    <s v="Health Sciences"/>
    <x v="4"/>
  </r>
  <r>
    <x v="6"/>
    <s v="National University of Singapore"/>
    <s v="YLL School of Medicine"/>
    <s v="Bachelor of Science (Nursing) (Hons)"/>
    <n v="100"/>
    <n v="100"/>
    <s v="Bachelor of Science (Nursing) (Hons)"/>
    <s v="Health Sciences"/>
    <x v="4"/>
  </r>
  <r>
    <x v="5"/>
    <s v="National University of Singapore"/>
    <s v="YLL School of Medicine"/>
    <s v="Bachelor of Science (Nursing) (Hons)"/>
    <n v="100"/>
    <n v="100"/>
    <s v="Bachelor of Science (Nursing) (Hons)"/>
    <s v="Health Sciences"/>
    <x v="4"/>
  </r>
  <r>
    <x v="3"/>
    <s v="National University of Singapore"/>
    <s v="YLL School of Medicine"/>
    <s v="Bachelor of Science (Nursing) (Hons)"/>
    <n v="100"/>
    <n v="100"/>
    <s v="Bachelor of Science (Nursing) (Hons)"/>
    <s v="Health Sciences"/>
    <x v="4"/>
  </r>
  <r>
    <x v="5"/>
    <s v="National University of Singapore"/>
    <s v="Faculty of Dentistry"/>
    <s v="Bachelor of Dental Surgery"/>
    <n v="100"/>
    <n v="100"/>
    <s v="Bachelor of Dental Surgery"/>
    <e v="#N/A"/>
    <x v="4"/>
  </r>
  <r>
    <x v="3"/>
    <s v="National University of Singapore"/>
    <s v="Faculty of Dentistry"/>
    <s v="Bachelor of Dental Surgery"/>
    <n v="100"/>
    <n v="100"/>
    <s v="Bachelor of Dental Surgery"/>
    <e v="#N/A"/>
    <x v="4"/>
  </r>
  <r>
    <x v="0"/>
    <s v="National University of Singapore"/>
    <s v="Faculty Of Dentistry"/>
    <s v="Bachelor of Dental Surgery"/>
    <n v="100"/>
    <n v="100"/>
    <s v="Bachelor of Dental Surgery"/>
    <e v="#N/A"/>
    <x v="4"/>
  </r>
  <r>
    <x v="1"/>
    <s v="National University of Singapore"/>
    <s v="Faculty Of Dentistry"/>
    <s v="Bachelor of Dental Surgery"/>
    <n v="100"/>
    <n v="100"/>
    <s v="Bachelor of Dental Surgery"/>
    <e v="#N/A"/>
    <x v="4"/>
  </r>
  <r>
    <x v="4"/>
    <s v="National University of Singapore"/>
    <s v="Faculty of Dentistry"/>
    <s v="Bachelor of Dental Surgery"/>
    <n v="100"/>
    <n v="100"/>
    <s v="Bachelor of Dental Surgery"/>
    <e v="#N/A"/>
    <x v="4"/>
  </r>
  <r>
    <x v="2"/>
    <s v="National University of Singapore"/>
    <s v="Faculty of Dentistry"/>
    <s v="Bachelor of Dental Surgery "/>
    <n v="100"/>
    <n v="97.3"/>
    <s v="Bachelor of Dental Surgery"/>
    <e v="#N/A"/>
    <x v="4"/>
  </r>
  <r>
    <x v="6"/>
    <s v="National University of Singapore"/>
    <s v="Faculty of Engineering"/>
    <s v="Bachelor of Engineering (Bioengineering)"/>
    <n v="74"/>
    <n v="60"/>
    <s v="Bachelor of Engineering (Bioengineering)"/>
    <e v="#N/A"/>
    <x v="3"/>
  </r>
  <r>
    <x v="3"/>
    <s v="Singapore University of Technology and Design"/>
    <s v="na"/>
    <s v="Bachelor of Engineering (Engineering Product Development)"/>
    <n v="92.5"/>
    <n v="88.1"/>
    <s v="Bachelor of Engineering (Engineering Product Development)"/>
    <e v="#N/A"/>
    <x v="3"/>
  </r>
  <r>
    <x v="1"/>
    <s v="Singapore University of Technology and Design"/>
    <s v="na"/>
    <s v="Bachelor of Engineering (Engineering Product Development)"/>
    <n v="89.9"/>
    <n v="87.3"/>
    <s v="Bachelor of Engineering (Engineering Product Development)"/>
    <e v="#N/A"/>
    <x v="3"/>
  </r>
  <r>
    <x v="0"/>
    <s v="Singapore University of Technology and Design"/>
    <s v="na"/>
    <s v="Bachelor of Engineering (Engineering Product Development)"/>
    <n v="87"/>
    <n v="79.7"/>
    <s v="Bachelor of Engineering (Engineering Product Development)"/>
    <e v="#N/A"/>
    <x v="3"/>
  </r>
  <r>
    <x v="2"/>
    <s v="Singapore University of Technology and Design"/>
    <m/>
    <s v="Bachelor of Engineering (Engineering Product Development) "/>
    <n v="84.2"/>
    <n v="80.2"/>
    <s v="Bachelor of Engineering (Engineering Product Development)"/>
    <e v="#N/A"/>
    <x v="3"/>
  </r>
  <r>
    <x v="1"/>
    <s v="Nanyang Technological University"/>
    <s v="College of Engineering"/>
    <s v="Bachelor of Engineering (Hons) (Aerospace Engineering)"/>
    <n v="80"/>
    <n v="75"/>
    <s v="Bachelor of Engineering (Hons) (Aerospace Engineering)"/>
    <e v="#N/A"/>
    <x v="3"/>
  </r>
  <r>
    <x v="1"/>
    <s v="Nanyang Technological University"/>
    <s v="College of Engineering"/>
    <s v="Bachelor of Engineering (Hons) (Electrical &amp; Electronic Engineering)"/>
    <n v="89.3"/>
    <n v="85"/>
    <s v="Bachelor of Engineering (Hons) (Electrical Electronic Engineering)"/>
    <e v="#N/A"/>
    <x v="3"/>
  </r>
  <r>
    <x v="1"/>
    <s v="Nanyang Technological University"/>
    <s v="College of Engineering"/>
    <s v="Bachelor of Engineering (Hons) (Information Engineering &amp; Media)"/>
    <n v="86.9"/>
    <n v="78.7"/>
    <s v="Bachelor of Engineering (Hons) (Information Engineering Media)"/>
    <e v="#N/A"/>
    <x v="3"/>
  </r>
  <r>
    <x v="2"/>
    <s v="Singapore Institute of Technology"/>
    <s v="SIT-DigiPen Institute of Technology"/>
    <s v="Bachelor of Engineering in Systems Engineering (ElectroMechanical Systems) * "/>
    <n v="95.199999999999989"/>
    <n v="90.5"/>
    <s v="Bachelor of Engineering in Systems Engineering (ElectroMechanical Systems)"/>
    <e v="#N/A"/>
    <x v="3"/>
  </r>
  <r>
    <x v="2"/>
    <s v="Singapore Institute of Technology"/>
    <s v="SIT-University of Glasgow"/>
    <s v="Bachelor of Science with Honours in Nursing "/>
    <n v="100"/>
    <n v="95.8"/>
    <s v="Bachelor of Science with Honours in Nursing"/>
    <s v="Health Sciences"/>
    <x v="4"/>
  </r>
  <r>
    <x v="4"/>
    <s v="Singapore Institute of Technology"/>
    <s v="Singapore Institute of Technology (SIT)"/>
    <s v="Bachelor of Engineering with Honours in Information &amp; Communications Technology (Information Security) ^"/>
    <n v="100"/>
    <n v="100"/>
    <s v="Bachelor of Engineering with Honours in Information Communications Technology (Information Security)"/>
    <e v="#N/A"/>
    <x v="6"/>
  </r>
  <r>
    <x v="2"/>
    <s v="Singapore Institute of Technology"/>
    <s v="Singapore Institute of Technology (SIT)"/>
    <s v="Bachelor of Engineering with Honours in Information &amp; Communications Technology (Information Security) "/>
    <n v="97.5"/>
    <n v="95"/>
    <s v="Bachelor of Engineering with Honours in Information Communications Technology (Information Security)"/>
    <e v="#N/A"/>
    <x v="6"/>
  </r>
  <r>
    <x v="2"/>
    <s v="Singapore Institute of Technology"/>
    <s v="Singapore Institute of Technology (SIT)"/>
    <s v="Bachelor of Engineering with Honours in Information &amp; Communications Technology (Software Engineering) "/>
    <n v="100"/>
    <n v="97.399999999999991"/>
    <s v="Bachelor of Engineering with Honours in Information Communications Technology (Software Engineering)"/>
    <e v="#N/A"/>
    <x v="6"/>
  </r>
  <r>
    <x v="1"/>
    <s v="National University of Singapore"/>
    <s v="Faculty of Science"/>
    <s v="Bachelor of Science (Pharmacy) #"/>
    <n v="99.1"/>
    <n v="94.5"/>
    <s v="Bachelor of Science (Pharmacy)"/>
    <s v="Health Sciences"/>
    <x v="4"/>
  </r>
  <r>
    <x v="4"/>
    <s v="Singapore Institute of Technology"/>
    <s v="Singapore Institute of Technology (SIT)"/>
    <s v="Bachelor of Engineering with Honours in Information &amp; Communications Technology (Software Engineering)"/>
    <n v="95.7"/>
    <n v="95.7"/>
    <s v="Bachelor of Engineering with Honours in Information Communications Technology (Software Engineering)"/>
    <e v="#N/A"/>
    <x v="3"/>
  </r>
  <r>
    <x v="5"/>
    <s v="Singapore Institute of Technology"/>
    <s v="Newcastle University"/>
    <s v="Bachelor of Engineering with Honours in Mechanical Design &amp; Manufacturing Engineering"/>
    <n v="97.1"/>
    <n v="85.7"/>
    <s v="Bachelor of Engineering with Honours in Mechanical Design Manufacturing Engineering"/>
    <e v="#N/A"/>
    <x v="3"/>
  </r>
  <r>
    <x v="2"/>
    <s v="National University of Singapore"/>
    <s v="Yong Loo Lin School (Medicine)"/>
    <s v="Bachelor of Science (Nursing) (Hons) "/>
    <n v="98.8"/>
    <n v="97.5"/>
    <s v="Bachelor of Science (Nursing) (Hons)"/>
    <s v="Health Sciences"/>
    <x v="4"/>
  </r>
  <r>
    <x v="3"/>
    <s v="Singapore Institute of Technology"/>
    <s v="Newcastle University"/>
    <s v="Bachelor of Engineering with Honours in Mechanical Design &amp; Manufacturing Engineering"/>
    <n v="90.5"/>
    <n v="83.3"/>
    <s v="Bachelor of Engineering with Honours in Mechanical Design Manufacturing Engineering"/>
    <e v="#N/A"/>
    <x v="3"/>
  </r>
  <r>
    <x v="4"/>
    <s v="National University of Singapore"/>
    <s v="YLL School of Medicine"/>
    <s v="Bachelor of Science (Nursing) (Hons)"/>
    <n v="98"/>
    <n v="98"/>
    <s v="Bachelor of Science (Nursing) (Hons)"/>
    <s v="Health Sciences"/>
    <x v="4"/>
  </r>
  <r>
    <x v="6"/>
    <s v="National University of Singapore"/>
    <s v="YLL School of Medicine"/>
    <s v="Bachelor of Science (Nursing)"/>
    <n v="97.5"/>
    <n v="97.5"/>
    <s v="Bachelor of Science (Nursing)"/>
    <s v="Health Sciences"/>
    <x v="4"/>
  </r>
  <r>
    <x v="1"/>
    <s v="National University of Singapore"/>
    <s v="Yong Loo Lin School (Medicine)"/>
    <s v="Bachelor of Science (Nursing)"/>
    <n v="97.4"/>
    <n v="97.4"/>
    <s v="Bachelor of Science (Nursing)"/>
    <s v="Health Sciences"/>
    <x v="4"/>
  </r>
  <r>
    <x v="3"/>
    <s v="National University of Singapore"/>
    <s v="YLL School of Medicine"/>
    <s v="Bachelor of Science (Nursing)"/>
    <n v="97.3"/>
    <n v="97.3"/>
    <s v="Bachelor of Science (Nursing)"/>
    <s v="Health Sciences"/>
    <x v="4"/>
  </r>
  <r>
    <x v="1"/>
    <s v="Singapore Institute of Technology"/>
    <s v="Newcastle University"/>
    <s v="Bachelor of Engineering with Honours in Mechanical Design &amp; Manufacturing Engineering"/>
    <n v="90.5"/>
    <n v="85.7"/>
    <s v="Bachelor of Engineering with Honours in Mechanical Design Manufacturing Engineering"/>
    <e v="#N/A"/>
    <x v="3"/>
  </r>
  <r>
    <x v="0"/>
    <s v="Singapore Institute of Technology"/>
    <s v="Newcastle University"/>
    <s v="Bachelor of Engineering with Honours in Mechanical Design &amp; Manufacturing Engineering"/>
    <n v="87"/>
    <n v="77.8"/>
    <s v="Bachelor of Engineering with Honours in Mechanical Design Manufacturing Engineering"/>
    <e v="#N/A"/>
    <x v="3"/>
  </r>
  <r>
    <x v="4"/>
    <s v="Singapore Institute of Technology"/>
    <s v="SIT-University of Glasgow"/>
    <s v="Bachelor of Science with Honours in Nursing"/>
    <n v="95.3"/>
    <n v="90.7"/>
    <s v="Bachelor of Science with Honours in Nursing"/>
    <s v="Health Sciences"/>
    <x v="4"/>
  </r>
  <r>
    <x v="0"/>
    <s v="National University of Singapore"/>
    <s v="Yong Loo Lin School (Medicine)"/>
    <s v="Bachelor of Science (Nursing) (Hons)"/>
    <n v="95.1"/>
    <n v="95.1"/>
    <s v="Bachelor of Science (Nursing) (Hons)"/>
    <s v="Health Sciences"/>
    <x v="4"/>
  </r>
  <r>
    <x v="4"/>
    <s v="National University of Singapore"/>
    <s v="YLL School of Medicine"/>
    <s v="Bachelor of Science (Nursing)"/>
    <n v="94.6"/>
    <n v="94.6"/>
    <s v="Bachelor of Science (Nursing)"/>
    <s v="Health Sciences"/>
    <x v="4"/>
  </r>
  <r>
    <x v="0"/>
    <s v="National University of Singapore"/>
    <s v="Yong Loo Lin School (Medicine)"/>
    <s v="Bachelor of Science (Nursing)"/>
    <n v="93.2"/>
    <n v="90.9"/>
    <s v="Bachelor of Science (Nursing)"/>
    <s v="Health Sciences"/>
    <x v="4"/>
  </r>
  <r>
    <x v="1"/>
    <s v="National University of Singapore"/>
    <s v="Yong Loo Lin School (Medicine)"/>
    <s v="Bachelor of Science (Nursing) (Hons)"/>
    <n v="91.8"/>
    <n v="89.8"/>
    <s v="Bachelor of Science (Nursing) (Hons)"/>
    <s v="Health Sciences"/>
    <x v="4"/>
  </r>
  <r>
    <x v="1"/>
    <s v="National University of Singapore"/>
    <s v="Multi-Disciplinary Programme"/>
    <s v="Bachelor of Environmental Studies"/>
    <n v="88.7"/>
    <n v="62.3"/>
    <s v="Bachelor of Environmental Studies"/>
    <e v="#N/A"/>
    <x v="5"/>
  </r>
  <r>
    <x v="4"/>
    <s v="National University of Singapore"/>
    <s v="Faculty of Science"/>
    <s v="Bachelor of Science (Pharmacy) #"/>
    <n v="96.6"/>
    <n v="93.2"/>
    <s v="Bachelor of Science (Pharmacy)"/>
    <s v="Health Sciences"/>
    <x v="4"/>
  </r>
  <r>
    <x v="2"/>
    <s v="National University of Singapore"/>
    <s v="Yong Loo Lin School (Medicine)"/>
    <s v="Bachelor of Science (Nursing) "/>
    <n v="93.5"/>
    <n v="89.1"/>
    <s v="Bachelor of Science (Nursing)"/>
    <s v="Health Sciences"/>
    <x v="4"/>
  </r>
  <r>
    <x v="4"/>
    <s v="National University of Singapore"/>
    <s v="Multidisciplinary Programmes"/>
    <s v="Bachelor of Environmental Studies"/>
    <n v="84.2"/>
    <n v="55.3"/>
    <s v="Bachelor of Environmental Studies"/>
    <e v="#N/A"/>
    <x v="5"/>
  </r>
  <r>
    <x v="0"/>
    <s v="National University of Singapore"/>
    <s v="Multidisciplinary Programme"/>
    <s v="Bachelor of Environmental Studies"/>
    <n v="83.8"/>
    <n v="67.599999999999994"/>
    <s v="Bachelor of Environmental Studies"/>
    <e v="#N/A"/>
    <x v="5"/>
  </r>
  <r>
    <x v="3"/>
    <s v="National University of Singapore"/>
    <s v="Multidisciplinary Program"/>
    <s v="Bachelor of Environmental Studies"/>
    <n v="71.900000000000006"/>
    <n v="59.4"/>
    <s v="Bachelor of Environmental Studies"/>
    <e v="#N/A"/>
    <x v="5"/>
  </r>
  <r>
    <x v="2"/>
    <s v="National University of Singapore"/>
    <s v="Multi-Disciplinary Programmes"/>
    <s v="Bachelor of Environmental Studies7 "/>
    <n v="88.4"/>
    <n v="67.400000000000006"/>
    <s v="Bachelor of Environmental Studies7"/>
    <e v="#N/A"/>
    <x v="5"/>
  </r>
  <r>
    <x v="5"/>
    <s v="Singapore Institute of Technology"/>
    <s v="DigiPen Institute of Technology"/>
    <s v="Bachelor of Fine Arts in Digital Arts &amp; Animation"/>
    <n v="90.6"/>
    <n v="84.4"/>
    <s v="Bachelor of Fine Arts in Digital Arts Animation"/>
    <e v="#N/A"/>
    <x v="1"/>
  </r>
  <r>
    <x v="3"/>
    <s v="Singapore Institute of Technology"/>
    <s v="DigiPen Institute of Technology"/>
    <s v="Bachelor of Fine Arts in Digital Arts &amp; Animation"/>
    <n v="88.5"/>
    <n v="65.400000000000006"/>
    <s v="Bachelor of Fine Arts in Digital Arts Animation"/>
    <e v="#N/A"/>
    <x v="1"/>
  </r>
  <r>
    <x v="1"/>
    <s v="Singapore Institute of Technology"/>
    <s v="DigiPen Institute of Technology"/>
    <s v="Bachelor of Fine Arts in Digital Arts &amp; Animation ^"/>
    <n v="88.5"/>
    <n v="69.2"/>
    <s v="Bachelor of Fine Arts in Digital Arts Animation"/>
    <e v="#N/A"/>
    <x v="1"/>
  </r>
  <r>
    <x v="0"/>
    <s v="Singapore Institute of Technology"/>
    <s v="DigiPen Institute of Technology"/>
    <s v="Bachelor of Fine Arts in Digital Arts &amp; Animation"/>
    <n v="73.3"/>
    <n v="53.3"/>
    <s v="Bachelor of Fine Arts in Digital Arts Animation"/>
    <e v="#N/A"/>
    <x v="1"/>
  </r>
  <r>
    <x v="4"/>
    <s v="National University of Singapore"/>
    <s v="Faculty of Law"/>
    <s v="Bachelor of Laws #"/>
    <n v="97.3"/>
    <n v="92.6"/>
    <s v="Bachelor of Laws"/>
    <e v="#N/A"/>
    <x v="7"/>
  </r>
  <r>
    <x v="0"/>
    <s v="Singapore Institute of Technology"/>
    <s v="University of Liverpool"/>
    <s v="Bachelor of Arts with Honours in Criminology and Security"/>
    <n v="92.6"/>
    <n v="81.5"/>
    <s v="Bachelor of Arts with Honours in Criminology and Security"/>
    <s v="Humanities &amp; Social Sciences"/>
    <x v="7"/>
  </r>
  <r>
    <x v="4"/>
    <s v="Singapore Institute of Technology"/>
    <s v="University of Liverpool"/>
    <s v="Bachelor of Arts with Honours in Criminology and Security"/>
    <n v="91.9"/>
    <n v="74.2"/>
    <s v="Bachelor of Arts with Honours in Criminology and Security"/>
    <s v="Humanities &amp; Social Sciences"/>
    <x v="7"/>
  </r>
  <r>
    <x v="1"/>
    <s v="National University of Singapore"/>
    <s v="Faculty of Law"/>
    <s v="Bachelor of Laws #"/>
    <n v="95.8"/>
    <n v="92.3"/>
    <s v="Bachelor of Laws"/>
    <e v="#N/A"/>
    <x v="7"/>
  </r>
  <r>
    <x v="1"/>
    <s v="Singapore Institute of Technology"/>
    <s v="University of Liverpool"/>
    <s v="Bachelor of Arts with Honours in Criminology and Security"/>
    <n v="86.4"/>
    <n v="69.5"/>
    <s v="Bachelor of Arts with Honours in Criminology and Security"/>
    <s v="Humanities &amp; Social Sciences"/>
    <x v="7"/>
  </r>
  <r>
    <x v="1"/>
    <s v="Nanyang Technological University"/>
    <s v="College of Engineering"/>
    <s v="Bachelor of Arts (Hons) in History"/>
    <n v="86"/>
    <n v="68.400000000000006"/>
    <s v="Bachelor of Arts (Hons) in History"/>
    <s v="Humanities &amp; Social Sciences"/>
    <x v="7"/>
  </r>
  <r>
    <x v="0"/>
    <s v="National University of Singapore"/>
    <s v="Faculty of Law"/>
    <s v="Bachelor of Laws (L.L.B) (Hons) #"/>
    <n v="97.7"/>
    <n v="95.9"/>
    <s v="Bachelor of Laws (L.L.B) (Hons)"/>
    <e v="#N/A"/>
    <x v="7"/>
  </r>
  <r>
    <x v="1"/>
    <s v="Nanyang Technological University"/>
    <s v="College of Engineering"/>
    <s v="Bachelor of Arts (Hons) in Economics"/>
    <n v="84.7"/>
    <n v="75.5"/>
    <s v="Bachelor of Arts (Hons) in Economics"/>
    <s v="Humanities &amp; Social Sciences"/>
    <x v="7"/>
  </r>
  <r>
    <x v="1"/>
    <s v="Nanyang Technological University"/>
    <s v="College of Engineering"/>
    <s v="Bachelor of Arts (Hons) in Chinese"/>
    <n v="84.6"/>
    <n v="67.7"/>
    <s v="Bachelor of Arts (Hons) in Chinese"/>
    <s v="Humanities &amp; Social Sciences"/>
    <x v="7"/>
  </r>
  <r>
    <x v="1"/>
    <s v="Nanyang Technological University"/>
    <s v="College of Engineering"/>
    <s v="Bachelor of Arts (Hons) in Linguistics And Multilingual Studies"/>
    <n v="80"/>
    <n v="60"/>
    <s v="Bachelor of Arts (Hons) in Linguistics And Multilingual Studies"/>
    <s v="Humanities &amp; Social Sciences"/>
    <x v="7"/>
  </r>
  <r>
    <x v="1"/>
    <s v="Nanyang Technological University"/>
    <s v="College of Engineering"/>
    <s v="Bachelor of Arts (Hons) in Psychology"/>
    <n v="78.900000000000006"/>
    <n v="59.2"/>
    <s v="Bachelor of Arts (Hons) in Psychology"/>
    <s v="Humanities &amp; Social Sciences"/>
    <x v="7"/>
  </r>
  <r>
    <x v="1"/>
    <s v="Nanyang Technological University"/>
    <s v="College of Engineering"/>
    <s v="Bachelor of Arts (Hons) in English"/>
    <n v="77.8"/>
    <n v="50.8"/>
    <s v="Bachelor of Arts (Hons) in English"/>
    <s v="Humanities &amp; Social Sciences"/>
    <x v="7"/>
  </r>
  <r>
    <x v="1"/>
    <s v="Nanyang Technological University"/>
    <s v="College of Engineering"/>
    <s v="Bachelor of Arts (Hons) in Sociology"/>
    <n v="77.599999999999994"/>
    <n v="62.1"/>
    <s v="Bachelor of Arts (Hons) in Sociology"/>
    <s v="Humanities &amp; Social Sciences"/>
    <x v="7"/>
  </r>
  <r>
    <x v="1"/>
    <s v="Nanyang Technological University"/>
    <s v="College of Engineering"/>
    <s v="Bachelor of Arts (Hons) in Public Policy And Global Affairs"/>
    <n v="74.099999999999994"/>
    <n v="66.7"/>
    <s v="Bachelor of Arts (Hons) in Public Policy And Global Affairs"/>
    <s v="Humanities &amp; Social Sciences"/>
    <x v="7"/>
  </r>
  <r>
    <x v="2"/>
    <s v="Singapore Institute of Technology"/>
    <s v="University of Liverpool"/>
    <s v="Bachelor of Arts with Honours in Criminology and Security "/>
    <n v="80.2"/>
    <n v="70.399999999999991"/>
    <s v="Bachelor of Arts with Honours in Criminology and Security"/>
    <s v="Humanities &amp; Social Sciences"/>
    <x v="7"/>
  </r>
  <r>
    <x v="1"/>
    <s v="Singapore University of Technology and Design"/>
    <s v="na"/>
    <s v="Bachelor of Engineering (Information Systems Technology and Design)"/>
    <n v="100"/>
    <n v="100"/>
    <s v="Bachelor of Engineering (Information Systems Technology and Design)"/>
    <s v="Information &amp; Digital Technologies"/>
    <x v="6"/>
  </r>
  <r>
    <x v="1"/>
    <s v="Nanyang Technological University"/>
    <s v="College of Business (Nanyang Business School)"/>
    <s v="Double Degree in Bachelor of Business (Hons) and Bachelor of Engineering (Hons) (Computer Science)"/>
    <n v="100"/>
    <n v="95"/>
    <s v="Double Degree in Bachelor of Business (Hons) and Bachelor of Engineering (Hons) (Computer Science)"/>
    <s v="Information &amp; Digital Technologies"/>
    <x v="6"/>
  </r>
  <r>
    <x v="3"/>
    <s v="National University of Singapore"/>
    <s v="Faculty of Law"/>
    <s v="Bachelor of Laws (L.L.B) (Hons) #"/>
    <n v="96.9"/>
    <n v="96.9"/>
    <s v="Bachelor of Laws (L.L.B) (Hons)"/>
    <e v="#N/A"/>
    <x v="7"/>
  </r>
  <r>
    <x v="6"/>
    <s v="National University of Singapore"/>
    <s v="Faculty of Law"/>
    <s v="Bachelor of Laws (LLB) (Hons) #"/>
    <n v="98.8"/>
    <n v="98.2"/>
    <s v="Bachelor of Laws (LLB) (Hons)"/>
    <e v="#N/A"/>
    <x v="7"/>
  </r>
  <r>
    <x v="5"/>
    <s v="National University of Singapore"/>
    <s v="Faculty of Law"/>
    <s v="Bachelor of Laws (LLB) (Hons) #"/>
    <n v="98.2"/>
    <n v="97.6"/>
    <s v="Bachelor of Laws (LLB) (Hons)"/>
    <e v="#N/A"/>
    <x v="7"/>
  </r>
  <r>
    <x v="2"/>
    <s v="National University of Singapore"/>
    <s v="Faculty of Law"/>
    <s v="Bachelor of Laws6"/>
    <n v="95.7"/>
    <n v="93"/>
    <s v="Bachelor of Laws6"/>
    <e v="#N/A"/>
    <x v="7"/>
  </r>
  <r>
    <x v="5"/>
    <s v="National University of Singapore"/>
    <s v="YLL School of Medicine"/>
    <s v="Bachelor of Medicine and Bachelor of Surgery #"/>
    <n v="100"/>
    <n v="100"/>
    <s v="Bachelor of Medicine and Bachelor of Surgery"/>
    <e v="#N/A"/>
    <x v="4"/>
  </r>
  <r>
    <x v="3"/>
    <s v="National University of Singapore"/>
    <s v="YLL School of Medicine"/>
    <s v="Bachelor of Medicine and Bachelor of Surgery #"/>
    <n v="100"/>
    <n v="100"/>
    <s v="Bachelor of Medicine and Bachelor of Surgery"/>
    <e v="#N/A"/>
    <x v="4"/>
  </r>
  <r>
    <x v="1"/>
    <s v="National University of Singapore"/>
    <s v="Yong Loo Lin School (Medicine)"/>
    <s v="Bachelor of Medicine And Bachelor Of Surgery #"/>
    <n v="100"/>
    <n v="100"/>
    <s v="Bachelor of Medicine And Bachelor Of Surgery"/>
    <e v="#N/A"/>
    <x v="4"/>
  </r>
  <r>
    <x v="0"/>
    <s v="National University of Singapore"/>
    <s v="Yong Loo Lin School (Medicine)"/>
    <s v="Bachelor of Medicine and Bachelor Of Surgery #"/>
    <n v="99.4"/>
    <n v="99.4"/>
    <s v="Bachelor of Medicine and Bachelor Of Surgery"/>
    <e v="#N/A"/>
    <x v="4"/>
  </r>
  <r>
    <x v="6"/>
    <s v="National University of Singapore"/>
    <s v="YLL School of Medicine"/>
    <s v="Bachelor of Medicine and Bachelor of Surgery (MBBS) #"/>
    <n v="100"/>
    <n v="100"/>
    <s v="Bachelor of Medicine and Bachelor of Surgery (MBBS)"/>
    <e v="#N/A"/>
    <x v="4"/>
  </r>
  <r>
    <x v="2"/>
    <s v="National University of Singapore"/>
    <s v="School of Computing"/>
    <s v="Bachelor of Science (Business Analytics) "/>
    <n v="100"/>
    <n v="100"/>
    <s v="Bachelor of Science (Business Analytics)"/>
    <s v="Information &amp; Digital Technologies"/>
    <x v="6"/>
  </r>
  <r>
    <x v="4"/>
    <s v="National University of Singapore"/>
    <s v="School of Computing"/>
    <s v="Bachelor of Computing (Information Systems)"/>
    <n v="98.4"/>
    <n v="95.3"/>
    <s v="Bachelor of Computing (Information Systems)"/>
    <s v="Information &amp; Digital Technologies"/>
    <x v="6"/>
  </r>
  <r>
    <x v="1"/>
    <s v="National University of Singapore"/>
    <s v="School of Computing"/>
    <s v="Bachelor of Science (Business Analytics)"/>
    <n v="97.6"/>
    <n v="97.6"/>
    <s v="Bachelor of Science (Business Analytics)"/>
    <s v="Information &amp; Digital Technologies"/>
    <x v="6"/>
  </r>
  <r>
    <x v="3"/>
    <s v="National University of Singapore"/>
    <s v="School of Computing"/>
    <s v="Bachelor of Computing (Information Systems)"/>
    <n v="97.2"/>
    <n v="97.2"/>
    <s v="Bachelor of Computing (Information Systems)"/>
    <s v="Information &amp; Digital Technologies"/>
    <x v="6"/>
  </r>
  <r>
    <x v="3"/>
    <s v="National University of Singapore"/>
    <s v="School of Computing"/>
    <s v="Bachelor of Computing (Computer Science)"/>
    <n v="97"/>
    <n v="95"/>
    <s v="Bachelor of Computing (Computer Science)"/>
    <s v="Information &amp; Digital Technologies"/>
    <x v="6"/>
  </r>
  <r>
    <x v="4"/>
    <s v="National University of Singapore"/>
    <s v="School of Computing"/>
    <s v="Bachelor of Computing (Computer Science)"/>
    <n v="96.9"/>
    <n v="91.8"/>
    <s v="Bachelor of Computing (Computer Science)"/>
    <s v="Information &amp; Digital Technologies"/>
    <x v="6"/>
  </r>
  <r>
    <x v="0"/>
    <s v="National University of Singapore"/>
    <s v="School of Computing"/>
    <s v="Bachelor of Computing (Computer Science)"/>
    <n v="96.3"/>
    <n v="93.3"/>
    <s v="Bachelor of Computing (Computer Science)"/>
    <s v="Information &amp; Digital Technologies"/>
    <x v="6"/>
  </r>
  <r>
    <x v="1"/>
    <s v="Singapore Institute of Technology"/>
    <s v="University of Glasgow"/>
    <s v="Bachelor of Science with Honours in Computing Science"/>
    <n v="95.8"/>
    <n v="85.9"/>
    <s v="Bachelor of Science with Honours in Computing Science"/>
    <s v="Information &amp; Digital Technologies"/>
    <x v="6"/>
  </r>
  <r>
    <x v="3"/>
    <s v="Singapore Institute of Technology"/>
    <s v="University of Glasgow"/>
    <s v="Bachelor of Science with Honours in Computing Science"/>
    <n v="95.6"/>
    <n v="86.7"/>
    <s v="Bachelor of Science with Honours in Computing Science"/>
    <s v="Information &amp; Digital Technologies"/>
    <x v="6"/>
  </r>
  <r>
    <x v="5"/>
    <s v="National University of Singapore"/>
    <s v="School of Computing"/>
    <s v="Bachelor of Computing (Information Systems)"/>
    <n v="95.5"/>
    <n v="92"/>
    <s v="Bachelor of Computing (Information Systems)"/>
    <s v="Information &amp; Digital Technologies"/>
    <x v="6"/>
  </r>
  <r>
    <x v="5"/>
    <s v="National University of Singapore"/>
    <s v="Faculty of Engineering"/>
    <s v="Bachelor of Engineering (Computer Engineering)"/>
    <n v="95.2"/>
    <n v="92.4"/>
    <s v="Bachelor of Engineering (Computer Engineering)"/>
    <s v="Information &amp; Digital Technologies"/>
    <x v="6"/>
  </r>
  <r>
    <x v="1"/>
    <s v="Nanyang Technological University"/>
    <s v="College of Engineering"/>
    <s v="Bachelor of Engineering (Hons) (Computer Engineering)"/>
    <n v="95.1"/>
    <n v="87.8"/>
    <s v="Bachelor of Engineering (Hons) (Computer Engineering)"/>
    <s v="Information &amp; Digital Technologies"/>
    <x v="6"/>
  </r>
  <r>
    <x v="4"/>
    <s v="Singapore Institute of Technology"/>
    <s v="University of Glasgow"/>
    <s v="Bachelor of Science with Honours in Computing Science"/>
    <n v="94.7"/>
    <n v="89.3"/>
    <s v="Bachelor of Science with Honours in Computing Science"/>
    <s v="Information &amp; Digital Technologies"/>
    <x v="6"/>
  </r>
  <r>
    <x v="1"/>
    <s v="National University of Singapore"/>
    <s v="School of Computing"/>
    <s v="Bachelor of Computing (Information Systems)"/>
    <n v="94.5"/>
    <n v="91.8"/>
    <s v="Bachelor of Computing (Information Systems)"/>
    <s v="Information &amp; Digital Technologies"/>
    <x v="6"/>
  </r>
  <r>
    <x v="0"/>
    <s v="National University of Singapore"/>
    <s v="School of Computing"/>
    <s v="Bachelor of Computing (Information Systems)"/>
    <n v="94"/>
    <n v="94"/>
    <s v="Bachelor of Computing (Information Systems)"/>
    <s v="Information &amp; Digital Technologies"/>
    <x v="6"/>
  </r>
  <r>
    <x v="1"/>
    <s v="National University of Singapore"/>
    <s v="School of Computing"/>
    <s v="Bachelor of Computing (Computer Science)"/>
    <n v="93.5"/>
    <n v="89.4"/>
    <s v="Bachelor of Computing (Computer Science)"/>
    <s v="Information &amp; Digital Technologies"/>
    <x v="6"/>
  </r>
  <r>
    <x v="4"/>
    <s v="National University of Singapore"/>
    <s v="School of Computing"/>
    <s v="Bachelor of Science (Business Analytics)"/>
    <n v="93.5"/>
    <n v="93.5"/>
    <s v="Bachelor of Science (Business Analytics)"/>
    <s v="Information &amp; Digital Technologies"/>
    <x v="6"/>
  </r>
  <r>
    <x v="2"/>
    <s v="National University of Singapore"/>
    <s v="Yong Loo Lin School (Medicine)"/>
    <s v="Bachelor of Medicine and Bachelor of Surgery6 "/>
    <n v="99.5"/>
    <n v="99.5"/>
    <s v="Bachelor of Medicine and Bachelor of Surgery6"/>
    <e v="#N/A"/>
    <x v="4"/>
  </r>
  <r>
    <x v="6"/>
    <s v="National University of Singapore"/>
    <s v="School of Computing"/>
    <s v="Bachelor of Computing (Computer Science)"/>
    <n v="92.4"/>
    <n v="83.3"/>
    <s v="Bachelor of Computing (Computer Science)"/>
    <s v="Information &amp; Digital Technologies"/>
    <x v="6"/>
  </r>
  <r>
    <x v="1"/>
    <s v="Nanyang Technological University"/>
    <s v="College of Engineering"/>
    <s v="Bachelor of Engineering (Hons) (Computer Science)"/>
    <n v="92.4"/>
    <n v="86.7"/>
    <s v="Bachelor of Engineering (Hons) (Computer Science)"/>
    <s v="Information &amp; Digital Technologies"/>
    <x v="6"/>
  </r>
  <r>
    <x v="0"/>
    <s v="National University of Singapore"/>
    <s v="Yong Siew Toh Conservatory of Music"/>
    <s v="Bachelor of Music"/>
    <n v="85.7"/>
    <n v="14.3"/>
    <s v="Bachelor of Music"/>
    <e v="#N/A"/>
    <x v="1"/>
  </r>
  <r>
    <x v="0"/>
    <s v="Singapore University of Technology and Design"/>
    <s v="na"/>
    <s v="Bachelor of Engineering (Information Systems Technology and Design)"/>
    <n v="91.9"/>
    <n v="91.9"/>
    <s v="Bachelor of Engineering (Information Systems Technology and Design)"/>
    <s v="Information &amp; Digital Technologies"/>
    <x v="6"/>
  </r>
  <r>
    <x v="3"/>
    <s v="National University of Singapore"/>
    <s v="Faculty of Engineering"/>
    <s v="Bachelor of Engineering (Computer Engineering)"/>
    <n v="91.8"/>
    <n v="90.6"/>
    <s v="Bachelor of Engineering (Computer Engineering)"/>
    <s v="Information &amp; Digital Technologies"/>
    <x v="6"/>
  </r>
  <r>
    <x v="5"/>
    <s v="National University of Singapore"/>
    <s v="School of Computing"/>
    <s v="Bachelor of Computing (Computer Science)"/>
    <n v="90.6"/>
    <n v="85.9"/>
    <s v="Bachelor of Computing (Computer Science)"/>
    <s v="Information &amp; Digital Technologies"/>
    <x v="6"/>
  </r>
  <r>
    <x v="2"/>
    <s v="National University of Singapore"/>
    <s v="YST Conservatory of Music"/>
    <s v="Bachelor of Music "/>
    <n v="82.6"/>
    <n v="39.1"/>
    <s v="Bachelor of Music"/>
    <e v="#N/A"/>
    <x v="1"/>
  </r>
  <r>
    <x v="0"/>
    <s v="Singapore Institute of Technology"/>
    <s v="University of Glasgow"/>
    <s v="Bachelor of Science with Honours in Computing Science"/>
    <n v="89.8"/>
    <n v="81.599999999999994"/>
    <s v="Bachelor of Science with Honours in Computing Science"/>
    <s v="Information &amp; Digital Technologies"/>
    <x v="6"/>
  </r>
  <r>
    <x v="1"/>
    <s v="National University of Singapore"/>
    <s v="Multi-Disciplinary Programme"/>
    <s v="Bachelor of Engineering (Computer Engineering)"/>
    <n v="89.4"/>
    <n v="84.7"/>
    <s v="Bachelor of Engineering (Computer Engineering)"/>
    <s v="Information &amp; Digital Technologies"/>
    <x v="6"/>
  </r>
  <r>
    <x v="6"/>
    <s v="National University of Singapore"/>
    <s v="School of Computing"/>
    <s v="Bachelor of Computing (Information Systems)"/>
    <n v="89.2"/>
    <n v="83.9"/>
    <s v="Bachelor of Computing (Information Systems)"/>
    <s v="Information &amp; Digital Technologies"/>
    <x v="6"/>
  </r>
  <r>
    <x v="0"/>
    <s v="National University of Singapore"/>
    <s v="Faculty Of Engineering"/>
    <s v="Bachelor of Engineering (Computer Engineering)"/>
    <n v="89.1"/>
    <n v="85.9"/>
    <s v="Bachelor of Engineering (Computer Engineering)"/>
    <s v="Information &amp; Digital Technologies"/>
    <x v="6"/>
  </r>
  <r>
    <x v="6"/>
    <s v="National University of Singapore"/>
    <s v="Faculty of Engineering"/>
    <s v="Bachelor of Engineering (Computer Engineering)"/>
    <n v="88.9"/>
    <n v="85.6"/>
    <s v="Bachelor of Engineering (Computer Engineering)"/>
    <s v="Information &amp; Digital Technologies"/>
    <x v="6"/>
  </r>
  <r>
    <x v="3"/>
    <s v="National University of Singapore"/>
    <s v="Yong Siew Toh Conservatory of Music"/>
    <s v="Bachelor of Music"/>
    <n v="82.4"/>
    <n v="41.2"/>
    <s v="Bachelor of Music"/>
    <e v="#N/A"/>
    <x v="1"/>
  </r>
  <r>
    <x v="4"/>
    <s v="National University of Singapore"/>
    <s v="Multidisciplinary Programmes"/>
    <s v="Bachelor of Engineering (Computer Engineering)"/>
    <n v="88.6"/>
    <n v="84.3"/>
    <s v="Bachelor of Engineering (Computer Engineering)"/>
    <s v="Information &amp; Digital Technologies"/>
    <x v="6"/>
  </r>
  <r>
    <x v="3"/>
    <s v="Singapore University of Technology and Design"/>
    <s v="na"/>
    <s v="Bachelor of Engineering (Information Systems Technology and Design)"/>
    <n v="86"/>
    <n v="83.7"/>
    <s v="Bachelor of Engineering (Information Systems Technology and Design)"/>
    <s v="Information &amp; Digital Technologies"/>
    <x v="6"/>
  </r>
  <r>
    <x v="4"/>
    <s v="National University of Singapore"/>
    <s v="Yong Siew Toh Conservatory of Music"/>
    <s v="Bachelor of Music"/>
    <n v="81"/>
    <n v="23.8"/>
    <s v="Bachelor of Music"/>
    <e v="#N/A"/>
    <x v="1"/>
  </r>
  <r>
    <x v="2"/>
    <s v="National University of Singapore"/>
    <s v="School of Computing"/>
    <s v="Bachelor of Computing (Information Systems) "/>
    <n v="95.899999999999991"/>
    <n v="95.899999999999991"/>
    <s v="Bachelor of Computing (Information Systems)"/>
    <s v="Information &amp; Digital Technologies"/>
    <x v="6"/>
  </r>
  <r>
    <x v="4"/>
    <s v="Singapore Institute of Technology"/>
    <s v="DigiPen Institute of Technology"/>
    <s v="Bachelor of Science in Computer Science and Game Design ^"/>
    <n v="94.7"/>
    <n v="89.5"/>
    <s v="Bachelor of Science in Computer Science and Game Design"/>
    <s v="Information &amp; Digital Technologies"/>
    <x v="6"/>
  </r>
  <r>
    <x v="2"/>
    <s v="National University of Singapore"/>
    <s v="Multi-Disciplinary Programmes"/>
    <s v="Bachelor of Engineering (Computer Engineering) "/>
    <n v="92.9"/>
    <n v="91.7"/>
    <s v="Bachelor of Engineering (Computer Engineering)"/>
    <s v="Information &amp; Digital Technologies"/>
    <x v="6"/>
  </r>
  <r>
    <x v="2"/>
    <s v="National University of Singapore"/>
    <s v="School of Computing"/>
    <s v="Bachelor of Computing (Computer Science) "/>
    <n v="92.800000000000011"/>
    <n v="90.600000000000009"/>
    <s v="Bachelor of Computing (Computer Science)"/>
    <s v="Information &amp; Digital Technologies"/>
    <x v="6"/>
  </r>
  <r>
    <x v="2"/>
    <s v="Singapore Institute of Technology"/>
    <s v="University of Glasgow"/>
    <s v="Bachelor of Science with Honours in Computing Science "/>
    <n v="92.300000000000011"/>
    <n v="89.2"/>
    <s v="Bachelor of Science with Honours in Computing Science"/>
    <s v="Information &amp; Digital Technologies"/>
    <x v="6"/>
  </r>
  <r>
    <x v="2"/>
    <s v="Singapore Institute of Technology"/>
    <s v="DigiPen Institute of Technology"/>
    <s v="Bachelor of Science in Computer Science and Game Design * "/>
    <n v="91.3"/>
    <n v="87"/>
    <s v="Bachelor of Science in Computer Science and Game Design"/>
    <s v="Information &amp; Digital Technologies"/>
    <x v="6"/>
  </r>
  <r>
    <x v="2"/>
    <s v="Singapore University of Technology and Design"/>
    <m/>
    <s v="Bachelor of Engineering (Information Systems Technology and Design) "/>
    <n v="88.8"/>
    <n v="85.7"/>
    <s v="Bachelor of Engineering (Information Systems Technology and Design)"/>
    <s v="Information &amp; Digital Technologies"/>
    <x v="6"/>
  </r>
  <r>
    <x v="1"/>
    <s v="National University of Singapore"/>
    <s v="YST Conservatory Of Music"/>
    <s v="Bachelor of Music"/>
    <n v="73.3"/>
    <n v="26.7"/>
    <s v="Bachelor of Music"/>
    <e v="#N/A"/>
    <x v="1"/>
  </r>
  <r>
    <x v="2"/>
    <s v="Singapore University of Technology and Design"/>
    <m/>
    <s v="Bachelor of Science (Architecture and Sustainable Design) 6 "/>
    <n v="100"/>
    <n v="91.8"/>
    <s v="Bachelor of Science (Architecture and Sustainable Design) 6"/>
    <e v="#N/A"/>
    <x v="2"/>
  </r>
  <r>
    <x v="1"/>
    <s v="Nanyang Technological University"/>
    <s v="National Institute of Education (NIE)"/>
    <s v="Bachelor of Science (Hons) (Education)"/>
    <n v="100"/>
    <n v="100"/>
    <s v="Bachelor of Science (Hons) (Education)"/>
    <e v="#N/A"/>
    <x v="7"/>
  </r>
  <r>
    <x v="1"/>
    <s v="Nanyang Technological University"/>
    <s v="Sport Science and Management"/>
    <s v="Bachelor of Science (Hons) (Sport Science &amp; Management)"/>
    <n v="81.099999999999994"/>
    <n v="48.6"/>
    <s v="Bachelor of Science (Hons) (Sport Science Management)"/>
    <e v="#N/A"/>
    <x v="5"/>
  </r>
  <r>
    <x v="1"/>
    <s v="Nanyang Technological University"/>
    <s v="College of Sciences"/>
    <s v="Bachelor of Science (Hons) in Chemistry &amp; Biological Chemistry"/>
    <n v="70.099999999999994"/>
    <n v="51.1"/>
    <s v="Bachelor of Science (Hons) in Chemistry Biological Chemistry"/>
    <e v="#N/A"/>
    <x v="5"/>
  </r>
  <r>
    <x v="1"/>
    <s v="Nanyang Technological University"/>
    <s v="College of Sciences"/>
    <s v="Bachelor of Science (Hons) in Mathematics &amp; Economics"/>
    <n v="89.8"/>
    <n v="83.1"/>
    <s v="Bachelor of Science (Hons) in Mathematics Economics"/>
    <e v="#N/A"/>
    <x v="5"/>
  </r>
  <r>
    <x v="1"/>
    <s v="Nanyang Technological University"/>
    <s v="College of Sciences"/>
    <s v="Bachelor of Science (Hons) in Physics/Applied Physics"/>
    <n v="81.599999999999994"/>
    <n v="61.8"/>
    <s v="Bachelor of Science (Hons) in Physics/Applied Physics"/>
    <e v="#N/A"/>
    <x v="5"/>
  </r>
  <r>
    <x v="3"/>
    <s v="Singapore Institute of Technology"/>
    <s v="University of Nevada, Las Vegas"/>
    <s v="Bachelor of Science (Major in Hospitality Management)"/>
    <n v="89.9"/>
    <n v="82.6"/>
    <s v="Bachelor of Science (Major in Hospitality Management)"/>
    <e v="#N/A"/>
    <x v="0"/>
  </r>
  <r>
    <x v="1"/>
    <s v="Nanyang Technological University"/>
    <s v="College of Sciences"/>
    <s v="Bachelor of Science (Hons) in Mathematical Sciences"/>
    <n v="89.7"/>
    <n v="79.5"/>
    <s v="Bachelor of Science (Hons) in Mathematical Sciences"/>
    <s v="Sciences"/>
    <x v="5"/>
  </r>
  <r>
    <x v="4"/>
    <s v="National University of Singapore"/>
    <s v="Faculty of Science"/>
    <s v="Bachelor of Science (Hons)"/>
    <n v="87.3"/>
    <n v="72.8"/>
    <s v="Bachelor of Science (Hons)"/>
    <s v="Sciences"/>
    <x v="5"/>
  </r>
  <r>
    <x v="5"/>
    <s v="National University of Singapore"/>
    <s v="Faculty of Science"/>
    <s v="Bachelor of Science (Hons)"/>
    <n v="86.6"/>
    <n v="75.8"/>
    <s v="Bachelor of Science (Hons)"/>
    <s v="Sciences"/>
    <x v="5"/>
  </r>
  <r>
    <x v="1"/>
    <s v="National University of Singapore"/>
    <s v="Faculty of Science"/>
    <s v="Bachelor of Science (Hons)"/>
    <n v="85.9"/>
    <n v="69.3"/>
    <s v="Bachelor of Science (Hons)"/>
    <s v="Sciences"/>
    <x v="5"/>
  </r>
  <r>
    <x v="5"/>
    <s v="Singapore Institute of Technology"/>
    <s v="University of Nevada, Las Vegas"/>
    <s v="Bachelor of Science (Major in Hospitality Management)"/>
    <n v="88.8"/>
    <n v="78"/>
    <s v="Bachelor of Science (Major in Hospitality Management)"/>
    <e v="#N/A"/>
    <x v="0"/>
  </r>
  <r>
    <x v="0"/>
    <s v="National University of Singapore"/>
    <s v="Faculty of Science"/>
    <s v="Bachelor of Science (Hons)"/>
    <n v="84.9"/>
    <n v="71.7"/>
    <s v="Bachelor of Science (Hons)"/>
    <s v="Sciences"/>
    <x v="5"/>
  </r>
  <r>
    <x v="3"/>
    <s v="National University of Singapore"/>
    <s v="Faculty of Science"/>
    <s v="Bachelor of Science"/>
    <n v="84.3"/>
    <n v="64.2"/>
    <s v="Bachelor of Science"/>
    <s v="Sciences"/>
    <x v="5"/>
  </r>
  <r>
    <x v="0"/>
    <s v="National University of Singapore"/>
    <s v="Faculty of Science"/>
    <s v="Bachelor of Science"/>
    <n v="84.3"/>
    <n v="59.4"/>
    <s v="Bachelor of Science"/>
    <s v="Sciences"/>
    <x v="5"/>
  </r>
  <r>
    <x v="3"/>
    <s v="National University of Singapore"/>
    <s v="Faculty of Science"/>
    <s v="Bachelor of Science (Hons)"/>
    <n v="83.9"/>
    <n v="76.2"/>
    <s v="Bachelor of Science (Hons)"/>
    <s v="Sciences"/>
    <x v="5"/>
  </r>
  <r>
    <x v="6"/>
    <s v="National University of Singapore"/>
    <s v="Faculty of Science"/>
    <s v="Bachelor of Science (Hons)"/>
    <n v="83.6"/>
    <n v="74"/>
    <s v="Bachelor of Science (Hons)"/>
    <s v="Sciences"/>
    <x v="5"/>
  </r>
  <r>
    <x v="3"/>
    <s v="National University of Singapore"/>
    <s v="Faculty of Science"/>
    <s v="Bachelor of Science (Pharmacy) (Hons) #"/>
    <n v="99"/>
    <n v="97.9"/>
    <s v="Bachelor of Science (Pharmacy) (Hons)"/>
    <e v="#N/A"/>
    <x v="4"/>
  </r>
  <r>
    <x v="4"/>
    <s v="National University of Singapore"/>
    <s v="Faculty of Science"/>
    <s v="Bachelor of Science"/>
    <n v="81.599999999999994"/>
    <n v="47.2"/>
    <s v="Bachelor of Science"/>
    <s v="Sciences"/>
    <x v="5"/>
  </r>
  <r>
    <x v="5"/>
    <s v="National University of Singapore"/>
    <s v="Faculty of Science"/>
    <s v="Bachelor of Science (Pharmacy) (Hons) #"/>
    <n v="98.9"/>
    <n v="96.7"/>
    <s v="Bachelor of Science (Pharmacy) (Hons)"/>
    <e v="#N/A"/>
    <x v="4"/>
  </r>
  <r>
    <x v="6"/>
    <s v="National University of Singapore"/>
    <s v="Faculty of Science"/>
    <s v="Bachelor of Science"/>
    <n v="80.900000000000006"/>
    <n v="65.099999999999994"/>
    <s v="Bachelor of Science"/>
    <s v="Sciences"/>
    <x v="5"/>
  </r>
  <r>
    <x v="1"/>
    <s v="Nanyang Technological University"/>
    <s v="College of Sciences"/>
    <s v="Bachelor of Science (Hons) in Biological Sciences"/>
    <n v="80.400000000000006"/>
    <n v="62.6"/>
    <s v="Bachelor of Science (Hons) in Biological Sciences"/>
    <s v="Sciences"/>
    <x v="5"/>
  </r>
  <r>
    <x v="1"/>
    <s v="National University of Singapore"/>
    <s v="Faculty of Science"/>
    <s v="Bachelor of Science"/>
    <n v="76.900000000000006"/>
    <n v="54.5"/>
    <s v="Bachelor of Science"/>
    <s v="Sciences"/>
    <x v="5"/>
  </r>
  <r>
    <x v="5"/>
    <s v="National University of Singapore"/>
    <s v="Faculty of Science"/>
    <s v="Bachelor of Science"/>
    <n v="76.8"/>
    <n v="61.4"/>
    <s v="Bachelor of Science"/>
    <s v="Sciences"/>
    <x v="5"/>
  </r>
  <r>
    <x v="2"/>
    <s v="National University of Singapore"/>
    <s v="Faculty of Science"/>
    <s v="Bachelor of Science (Hons)* "/>
    <n v="88.5"/>
    <n v="72.3"/>
    <s v="Bachelor of Science (Hons)"/>
    <s v="Sciences"/>
    <x v="5"/>
  </r>
  <r>
    <x v="2"/>
    <s v="National University of Singapore"/>
    <s v="Faculty of Science"/>
    <s v="Bachelor of Science "/>
    <n v="84"/>
    <n v="59.3"/>
    <s v="Bachelor of Science"/>
    <s v="Sciences"/>
    <x v="5"/>
  </r>
  <r>
    <x v="6"/>
    <s v="National University of Singapore"/>
    <s v="Faculty of Science"/>
    <s v="Bachelor of Science (Pharmacy) (Hons) #"/>
    <n v="96.4"/>
    <n v="96.4"/>
    <s v="Bachelor of Science (Pharmacy) (Hons)"/>
    <e v="#N/A"/>
    <x v="4"/>
  </r>
  <r>
    <x v="0"/>
    <s v="National University of Singapore"/>
    <s v="Faculty of Science"/>
    <s v="Bachelor of Science (Pharmacy)(Hons) #"/>
    <n v="99.1"/>
    <n v="97.2"/>
    <s v="Bachelor of Science (Pharmacy)(Hons)"/>
    <e v="#N/A"/>
    <x v="4"/>
  </r>
  <r>
    <x v="2"/>
    <s v="National University of Singapore"/>
    <s v="Faculty of Science"/>
    <s v="Bachelor of Science (Pharmacy)6"/>
    <n v="100"/>
    <n v="95.5"/>
    <s v="Bachelor of Science (Pharmacy)6"/>
    <e v="#N/A"/>
    <x v="4"/>
  </r>
  <r>
    <x v="5"/>
    <s v="Singapore Institute of Technology"/>
    <s v="DigiPen Institute of Technology"/>
    <s v="Bachelor of Science in Computer Science &amp; Game Design"/>
    <n v="100"/>
    <n v="100"/>
    <s v="Bachelor of Science in Computer Science Game Design"/>
    <e v="#N/A"/>
    <x v="6"/>
  </r>
  <r>
    <x v="1"/>
    <s v="Singapore Institute of Technology"/>
    <s v="DigiPen Institute of Technology"/>
    <s v="Bachelor of Science in Computer Science &amp; Game Design ^"/>
    <n v="100"/>
    <n v="100"/>
    <s v="Bachelor of Science in Computer Science Game Design"/>
    <e v="#N/A"/>
    <x v="6"/>
  </r>
  <r>
    <x v="0"/>
    <s v="Singapore Institute of Technology"/>
    <s v="DigiPen Institute of Technology"/>
    <s v="Bachelor of Science in Computer Science &amp; Game Design"/>
    <n v="85.7"/>
    <n v="85.7"/>
    <s v="Bachelor of Science in Computer Science Game Design"/>
    <e v="#N/A"/>
    <x v="6"/>
  </r>
  <r>
    <x v="5"/>
    <s v="Singapore Institute of Technology"/>
    <s v="DigiPen Institute of Technology"/>
    <s v="Bachelor of Science in Computer Science in Real-Time Interactive Simulation"/>
    <n v="100"/>
    <n v="100"/>
    <s v="Bachelor of Science in Computer Science in Real-Time Interactive Simulation"/>
    <e v="#N/A"/>
    <x v="6"/>
  </r>
  <r>
    <x v="0"/>
    <s v="Singapore Institute of Technology"/>
    <s v="DigiPen Institute of Technology"/>
    <s v="Bachelor of Science in Computer Science in Real-Time Interactive Simulation"/>
    <n v="100"/>
    <n v="92.9"/>
    <s v="Bachelor of Science in Computer Science in Real-Time Interactive Simulation"/>
    <e v="#N/A"/>
    <x v="6"/>
  </r>
  <r>
    <x v="2"/>
    <s v="Singapore Institute of Technology"/>
    <s v="DigiPen Institute of Technology"/>
    <s v="Bachelor of Science in Computer Science in Real-Time Interactive Simulation "/>
    <n v="100"/>
    <n v="94.899999999999991"/>
    <s v="Bachelor of Science in Computer Science in Real-Time Interactive Simulation"/>
    <e v="#N/A"/>
    <x v="6"/>
  </r>
  <r>
    <x v="1"/>
    <s v="Singapore Institute of Technology"/>
    <s v="DigiPen Institute of Technology"/>
    <s v="Bachelor of Science in Computer Science in Real-Time Interactive Simulation"/>
    <n v="96.9"/>
    <n v="90.6"/>
    <s v="Bachelor of Science in Computer Science in Real-Time Interactive Simulation"/>
    <e v="#N/A"/>
    <x v="6"/>
  </r>
  <r>
    <x v="4"/>
    <s v="Singapore Institute of Technology"/>
    <s v="DigiPen Institute of Technology"/>
    <s v="Bachelor of Science in Computer Science in Real-Time Interactive Simulation"/>
    <n v="96.8"/>
    <n v="96.8"/>
    <s v="Bachelor of Science in Computer Science in Real-Time Interactive Simulation"/>
    <e v="#N/A"/>
    <x v="6"/>
  </r>
  <r>
    <x v="3"/>
    <s v="Singapore Institute of Technology"/>
    <s v="DigiPen Institute of Technology"/>
    <s v="Bachelor of Science in Computer Science in Real-Time Interactive Simulation"/>
    <n v="95.2"/>
    <n v="90.5"/>
    <s v="Bachelor of Science in Computer Science in Real-Time Interactive Simulation"/>
    <e v="#N/A"/>
    <x v="6"/>
  </r>
  <r>
    <x v="3"/>
    <s v="Singapore Institute of Technology"/>
    <s v="Wheelock College"/>
    <s v="Bachelor of Science in Early Childhood Education"/>
    <n v="100"/>
    <n v="96.4"/>
    <s v="Bachelor of Science in Early Childhood Education"/>
    <e v="#N/A"/>
    <x v="7"/>
  </r>
  <r>
    <x v="4"/>
    <s v="Singapore Institute of Technology"/>
    <s v="Wheelock College"/>
    <s v="Bachelor of Science in Early Childhood Education"/>
    <n v="100"/>
    <n v="98.2"/>
    <s v="Bachelor of Science in Early Childhood Education"/>
    <e v="#N/A"/>
    <x v="7"/>
  </r>
  <r>
    <x v="0"/>
    <s v="Singapore Institute of Technology"/>
    <s v="Wheelock College"/>
    <s v="Bachelor of Science in Early Childhood Education"/>
    <n v="98"/>
    <n v="92"/>
    <s v="Bachelor of Science in Early Childhood Education"/>
    <e v="#N/A"/>
    <x v="7"/>
  </r>
  <r>
    <x v="5"/>
    <s v="Singapore Institute of Technology"/>
    <s v="Wheelock College"/>
    <s v="Bachelor of Science in Early Childhood Education"/>
    <n v="97.1"/>
    <n v="97.1"/>
    <s v="Bachelor of Science in Early Childhood Education"/>
    <e v="#N/A"/>
    <x v="7"/>
  </r>
  <r>
    <x v="1"/>
    <s v="Singapore Institute of Technology"/>
    <s v="Wheelock College"/>
    <s v="Bachelor of Science in Early Childhood Education"/>
    <n v="96.4"/>
    <n v="92.9"/>
    <s v="Bachelor of Science in Early Childhood Education"/>
    <e v="#N/A"/>
    <x v="7"/>
  </r>
  <r>
    <x v="3"/>
    <s v="Singapore Institute of Technology"/>
    <s v="Technische Universität München"/>
    <s v="Bachelor of Science in Electrical Engineering &amp; Information Technology"/>
    <n v="100"/>
    <n v="90"/>
    <s v="Bachelor of Science in Electrical Engineering Information Technology"/>
    <e v="#N/A"/>
    <x v="3"/>
  </r>
  <r>
    <x v="0"/>
    <s v="Singapore Institute of Technology"/>
    <s v="Technische Universität München"/>
    <s v="Bachelor of Science in Electrical Engineering &amp; Information Technology"/>
    <n v="90.9"/>
    <n v="86.4"/>
    <s v="Bachelor of Science in Electrical Engineering Information Technology"/>
    <e v="#N/A"/>
    <x v="3"/>
  </r>
  <r>
    <x v="5"/>
    <s v="Singapore Institute of Technology"/>
    <s v="Technische Universität München"/>
    <s v="Bachelor of Science in Electrical Engineering &amp; Information Technology"/>
    <n v="85.7"/>
    <n v="82.1"/>
    <s v="Bachelor of Science in Electrical Engineering Information Technology"/>
    <e v="#N/A"/>
    <x v="3"/>
  </r>
  <r>
    <x v="4"/>
    <s v="Singapore Institute of Technology"/>
    <s v="Technische Universität München"/>
    <s v="Bachelor of Science in Electrical Engineering &amp; Information Technology"/>
    <n v="83.3"/>
    <n v="69.400000000000006"/>
    <s v="Bachelor of Science in Electrical Engineering Information Technology"/>
    <e v="#N/A"/>
    <x v="3"/>
  </r>
  <r>
    <x v="1"/>
    <s v="Singapore Institute of Technology"/>
    <s v="Technische Universität München"/>
    <s v="Bachelor of Science in Electrical Engineering &amp; Information Technology"/>
    <n v="82.8"/>
    <n v="82.8"/>
    <s v="Bachelor of Science in Electrical Engineering Information Technology"/>
    <e v="#N/A"/>
    <x v="3"/>
  </r>
  <r>
    <x v="2"/>
    <s v="National University of Singapore"/>
    <s v="Yale-NUS College"/>
    <s v="Bachelor of Science with Honours* "/>
    <n v="94.699999999999989"/>
    <n v="89.5"/>
    <s v="Bachelor of Science with Honours"/>
    <e v="#N/A"/>
    <x v="5"/>
  </r>
  <r>
    <x v="1"/>
    <s v="National University of Singapore"/>
    <s v="Yale-NUS College"/>
    <s v="Bachelor of Science with Honours"/>
    <n v="91.7"/>
    <n v="75"/>
    <s v="Bachelor of Science with Honours"/>
    <e v="#N/A"/>
    <x v="5"/>
  </r>
  <r>
    <x v="4"/>
    <s v="National University of Singapore"/>
    <s v="Yale-NUS College"/>
    <s v="Bachelor of Science with Honours ^"/>
    <n v="89.5"/>
    <n v="78.900000000000006"/>
    <s v="Bachelor of Science with Honours"/>
    <e v="#N/A"/>
    <x v="5"/>
  </r>
  <r>
    <x v="4"/>
    <s v="Singapore Institute of Technology"/>
    <s v="Newcastle University"/>
    <s v="Bachelor of Science with Honours in Food and Human Nutrition"/>
    <n v="90.4"/>
    <n v="69.2"/>
    <s v="Bachelor of Science with Honours in Food and Human Nutrition"/>
    <e v="#N/A"/>
    <x v="3"/>
  </r>
  <r>
    <x v="1"/>
    <s v="Singapore Institute of Technology"/>
    <s v="Newcastle University"/>
    <s v="Bachelor of Science with Honours in Food &amp; Human Nutrition"/>
    <n v="97.7"/>
    <n v="79.099999999999994"/>
    <s v="Bachelor of Science with Honours in Food Human Nutrition"/>
    <e v="#N/A"/>
    <x v="3"/>
  </r>
  <r>
    <x v="3"/>
    <s v="Singapore Institute of Technology"/>
    <s v="Newcastle University"/>
    <s v="Bachelor of Science with Honours in Food &amp; Human Nutrition"/>
    <n v="89.2"/>
    <n v="81.099999999999994"/>
    <s v="Bachelor of Science with Honours in Food Human Nutrition"/>
    <e v="#N/A"/>
    <x v="3"/>
  </r>
  <r>
    <x v="0"/>
    <s v="Singapore Institute of Technology"/>
    <s v="Newcastle University"/>
    <s v="Bachelor of Science with Honours in Food &amp; Human Nutrition"/>
    <n v="86.7"/>
    <n v="62.2"/>
    <s v="Bachelor of Science with Honours in Food Human Nutrition"/>
    <e v="#N/A"/>
    <x v="3"/>
  </r>
  <r>
    <x v="5"/>
    <s v="Singapore Institute of Technology"/>
    <s v="Newcastle University"/>
    <s v="Bachelor of Science with Honours in Food &amp; Human Nutrition"/>
    <n v="75"/>
    <n v="61.4"/>
    <s v="Bachelor of Science with Honours in Food Human Nutrition"/>
    <e v="#N/A"/>
    <x v="3"/>
  </r>
  <r>
    <x v="3"/>
    <s v="Singapore Institute of Technology"/>
    <s v="University of Manchester"/>
    <s v="Bachelor of Science with Honours in Nursing Practice"/>
    <n v="98.3"/>
    <n v="96.7"/>
    <s v="Bachelor of Science with Honours in Nursing Practice"/>
    <e v="#N/A"/>
    <x v="4"/>
  </r>
  <r>
    <x v="1"/>
    <s v="Singapore Institute of Technology"/>
    <s v="University of Manchester"/>
    <s v="Bachelor of Science with Honours in Nursing Practice"/>
    <n v="98.2"/>
    <n v="96.5"/>
    <s v="Bachelor of Science with Honours in Nursing Practice"/>
    <e v="#N/A"/>
    <x v="4"/>
  </r>
  <r>
    <x v="5"/>
    <s v="Singapore Institute of Technology"/>
    <s v="University of Manchester"/>
    <s v="Bachelor of Science with Honours in Nursing Practice"/>
    <n v="97.2"/>
    <n v="94.4"/>
    <s v="Bachelor of Science with Honours in Nursing Practice"/>
    <e v="#N/A"/>
    <x v="4"/>
  </r>
  <r>
    <x v="0"/>
    <s v="Singapore Institute of Technology"/>
    <s v="University of Manchester"/>
    <s v="Bachelor of Science with Honours in Nursing Practice"/>
    <n v="92.7"/>
    <n v="85.5"/>
    <s v="Bachelor of Science with Honours in Nursing Practice"/>
    <e v="#N/A"/>
    <x v="4"/>
  </r>
  <r>
    <x v="0"/>
    <s v="National University of Singapore"/>
    <s v="Faculty of Arts &amp; Social Sciences"/>
    <s v="Bachelor of Social Sciences"/>
    <n v="89.5"/>
    <n v="73.3"/>
    <s v="Bachelor of Social Sciences"/>
    <e v="#N/A"/>
    <x v="7"/>
  </r>
  <r>
    <x v="5"/>
    <s v="National University of Singapore"/>
    <s v="Faculty of Arts &amp; Social Sciences"/>
    <s v="Bachelor of Social Sciences"/>
    <n v="88.7"/>
    <n v="80.099999999999994"/>
    <s v="Bachelor of Social Sciences"/>
    <e v="#N/A"/>
    <x v="7"/>
  </r>
  <r>
    <x v="3"/>
    <s v="National University of Singapore"/>
    <s v="Faculty of Arts &amp; Social Sciences"/>
    <s v="Bachelor of Social Sciences"/>
    <n v="88.6"/>
    <n v="79.8"/>
    <s v="Bachelor of Social Sciences"/>
    <e v="#N/A"/>
    <x v="7"/>
  </r>
  <r>
    <x v="1"/>
    <s v="National University of Singapore"/>
    <s v="Faculty of Arts &amp; Social Sciences"/>
    <s v="Bachelor of Social Sciences"/>
    <n v="88.3"/>
    <n v="74.7"/>
    <s v="Bachelor of Social Sciences"/>
    <e v="#N/A"/>
    <x v="7"/>
  </r>
  <r>
    <x v="4"/>
    <s v="National University of Singapore"/>
    <s v="Faculty of Arts &amp; Social Sciences"/>
    <s v="Bachelor of Social Sciences"/>
    <n v="88.2"/>
    <n v="74.5"/>
    <s v="Bachelor of Social Sciences"/>
    <e v="#N/A"/>
    <x v="7"/>
  </r>
  <r>
    <x v="6"/>
    <s v="National University of Singapore"/>
    <s v="Faculty of Arts &amp; Social Sciences"/>
    <s v="Bachelor of Social Sciences"/>
    <n v="88.1"/>
    <n v="76.8"/>
    <s v="Bachelor of Social Sciences"/>
    <e v="#N/A"/>
    <x v="7"/>
  </r>
  <r>
    <x v="2"/>
    <s v="National University of Singapore"/>
    <s v="Faculty of Arts &amp; Social Sciences"/>
    <s v="Bachelor of Social Sciences"/>
    <n v="88"/>
    <n v="75.900000000000006"/>
    <s v="Bachelor of Social Sciences"/>
    <e v="#N/A"/>
    <x v="7"/>
  </r>
  <r>
    <x v="6"/>
    <s v="Nanyang Technological University"/>
    <s v="College of Engineering"/>
    <s v="Bioengineering"/>
    <n v="81.3"/>
    <n v="68.8"/>
    <s v="Bioengineering"/>
    <e v="#N/A"/>
    <x v="3"/>
  </r>
  <r>
    <x v="3"/>
    <s v="Nanyang Technological University"/>
    <s v="College of Engineering"/>
    <s v="Bioengineering"/>
    <n v="92.6"/>
    <n v="76.5"/>
    <s v="Bioengineering"/>
    <e v="#N/A"/>
    <x v="3"/>
  </r>
  <r>
    <x v="2"/>
    <s v="Nanyang Technological University"/>
    <s v="College of Engineering"/>
    <s v="Bioengineering "/>
    <n v="81.3"/>
    <n v="64.099999999999994"/>
    <s v="Bioengineering"/>
    <e v="#N/A"/>
    <x v="3"/>
  </r>
  <r>
    <x v="5"/>
    <s v="Nanyang Technological University"/>
    <s v="College of Engineering"/>
    <s v="Bioengineering"/>
    <n v="79.8"/>
    <n v="69.7"/>
    <s v="Bioengineering"/>
    <e v="#N/A"/>
    <x v="3"/>
  </r>
  <r>
    <x v="0"/>
    <s v="Nanyang Technological University"/>
    <s v="College of Engineering"/>
    <s v="Bioengineering"/>
    <n v="77.8"/>
    <n v="63.9"/>
    <s v="Bioengineering"/>
    <e v="#N/A"/>
    <x v="3"/>
  </r>
  <r>
    <x v="4"/>
    <s v="Nanyang Technological University"/>
    <s v="College of Engineering"/>
    <s v="Bioengineering"/>
    <n v="77.5"/>
    <n v="66.2"/>
    <s v="Bioengineering"/>
    <e v="#N/A"/>
    <x v="3"/>
  </r>
  <r>
    <x v="2"/>
    <s v="Nanyang Technological University"/>
    <s v="College of Science"/>
    <s v="Biological Sciences "/>
    <n v="81.599999999999994"/>
    <n v="66.3"/>
    <s v="Biological Sciences"/>
    <e v="#N/A"/>
    <x v="5"/>
  </r>
  <r>
    <x v="0"/>
    <s v="Nanyang Technological University"/>
    <s v="College of Sciences"/>
    <s v="Biological Sciences"/>
    <n v="80.5"/>
    <n v="64"/>
    <s v="Biological Sciences"/>
    <e v="#N/A"/>
    <x v="5"/>
  </r>
  <r>
    <x v="4"/>
    <s v="Nanyang Technological University"/>
    <s v="College of Sciences"/>
    <s v="Biological Sciences"/>
    <n v="80.099999999999994"/>
    <n v="67"/>
    <s v="Biological Sciences"/>
    <e v="#N/A"/>
    <x v="5"/>
  </r>
  <r>
    <x v="6"/>
    <s v="Nanyang Technological University"/>
    <s v="College of Sciences"/>
    <s v="Biological Sciences"/>
    <n v="78.599999999999994"/>
    <n v="68.099999999999994"/>
    <s v="Biological Sciences"/>
    <e v="#N/A"/>
    <x v="5"/>
  </r>
  <r>
    <x v="5"/>
    <s v="Nanyang Technological University"/>
    <s v="College of Sciences"/>
    <s v="Biological Sciences"/>
    <n v="75.099999999999994"/>
    <n v="60.8"/>
    <s v="Biological Sciences"/>
    <e v="#N/A"/>
    <x v="5"/>
  </r>
  <r>
    <x v="3"/>
    <s v="Nanyang Technological University"/>
    <s v="College of Sciences"/>
    <s v="Biological Sciences"/>
    <n v="74.599999999999994"/>
    <n v="65.3"/>
    <s v="Biological Sciences"/>
    <e v="#N/A"/>
    <x v="5"/>
  </r>
  <r>
    <x v="5"/>
    <s v="Nanyang Technological University"/>
    <s v="College of Sciences"/>
    <s v="Biomedical Science (Traditional Chinese Medicine) #"/>
    <n v="100"/>
    <n v="100"/>
    <s v="Biomedical Science (Traditional Chinese Medicine)"/>
    <e v="#N/A"/>
    <x v="4"/>
  </r>
  <r>
    <x v="3"/>
    <s v="Nanyang Technological University"/>
    <s v="College of Sciences"/>
    <s v="Biomedical Science (Traditional Chinese Medicine) #"/>
    <n v="100"/>
    <n v="100"/>
    <s v="Biomedical Science (Traditional Chinese Medicine)"/>
    <e v="#N/A"/>
    <x v="4"/>
  </r>
  <r>
    <x v="6"/>
    <s v="Nanyang Technological University"/>
    <s v="College of Sciences"/>
    <s v="Biomedical Sciences (Traditional Chinese Medicine) #"/>
    <n v="90.7"/>
    <n v="88.4"/>
    <s v="Biomedical Sciences (Traditional Chinese Medicine)"/>
    <e v="#N/A"/>
    <x v="4"/>
  </r>
  <r>
    <x v="0"/>
    <s v="Nanyang Technological University"/>
    <s v="College of Sciences"/>
    <s v="Biomedical Sciences &amp; Chinese Medicine #"/>
    <n v="94.4"/>
    <n v="88.9"/>
    <s v="Biomedical Sciences Chinese Medicine"/>
    <e v="#N/A"/>
    <x v="4"/>
  </r>
  <r>
    <x v="4"/>
    <s v="Nanyang Technological University"/>
    <s v="College of Sciences"/>
    <s v="Biomedical Sciences &amp; Chinese Medicine # ^"/>
    <n v="90.9"/>
    <n v="81.8"/>
    <s v="Biomedical Sciences Chinese Medicine"/>
    <e v="#N/A"/>
    <x v="4"/>
  </r>
  <r>
    <x v="2"/>
    <s v="Nanyang Technological University"/>
    <s v="College of Science"/>
    <s v="Biomedical Sciences &amp; Chinese Medicine6* "/>
    <n v="95.199999999999989"/>
    <n v="85.7"/>
    <s v="Biomedical Sciences Chinese Medicine6"/>
    <e v="#N/A"/>
    <x v="4"/>
  </r>
  <r>
    <x v="2"/>
    <s v="Nanyang Technological University"/>
    <s v="College of Business (Nanyang Business School)"/>
    <s v="Business "/>
    <n v="93.8"/>
    <n v="83.1"/>
    <s v="Business"/>
    <e v="#N/A"/>
    <x v="0"/>
  </r>
  <r>
    <x v="4"/>
    <s v="Nanyang Technological University"/>
    <s v="College of Business (Nanyang Business School)"/>
    <s v="Business"/>
    <n v="92.6"/>
    <n v="84.3"/>
    <s v="Business"/>
    <e v="#N/A"/>
    <x v="0"/>
  </r>
  <r>
    <x v="0"/>
    <s v="Nanyang Technological University"/>
    <s v="College of Business (Nanyang Business School)"/>
    <s v="Business"/>
    <n v="89.6"/>
    <n v="77.099999999999994"/>
    <s v="Business"/>
    <e v="#N/A"/>
    <x v="0"/>
  </r>
  <r>
    <x v="6"/>
    <s v="Nanyang Technological University"/>
    <s v="College of Business (Nanyang Business School)"/>
    <s v="Business (3-yr direct Honours Programme)"/>
    <n v="90.9"/>
    <n v="85.7"/>
    <s v="Business (3-yr direct Honours Programme)"/>
    <e v="#N/A"/>
    <x v="0"/>
  </r>
  <r>
    <x v="3"/>
    <s v="Nanyang Technological University"/>
    <s v="College of Business (Nanyang Business School)"/>
    <s v="Business (3-yr direct Honours Programme)"/>
    <n v="92.2"/>
    <n v="87.6"/>
    <s v="Business (3-yr direct Honours Programme)"/>
    <e v="#N/A"/>
    <x v="0"/>
  </r>
  <r>
    <x v="5"/>
    <s v="Nanyang Technological University"/>
    <s v="College of Business (Nanyang Business School)"/>
    <s v="Business (3-yr direct Honours Programme)"/>
    <n v="89.6"/>
    <n v="80.2"/>
    <s v="Business (3-yr direct Honours Programme)"/>
    <e v="#N/A"/>
    <x v="0"/>
  </r>
  <r>
    <x v="3"/>
    <s v="Nanyang Technological University"/>
    <s v="College of Business (Nanyang Business School)"/>
    <s v="Business and Computing"/>
    <n v="100"/>
    <n v="100"/>
    <s v="Business and Computing"/>
    <e v="#N/A"/>
    <x v="0"/>
  </r>
  <r>
    <x v="4"/>
    <s v="Nanyang Technological University"/>
    <s v="College of Business (Nanyang Business School)"/>
    <s v="Business and Computing ^"/>
    <n v="100"/>
    <n v="100"/>
    <s v="Business and Computing"/>
    <e v="#N/A"/>
    <x v="0"/>
  </r>
  <r>
    <x v="6"/>
    <s v="Nanyang Technological University"/>
    <s v="College of Business (Nanyang Business School)"/>
    <s v="Business and Computing"/>
    <n v="87.5"/>
    <n v="87.5"/>
    <s v="Business and Computing"/>
    <e v="#N/A"/>
    <x v="0"/>
  </r>
  <r>
    <x v="0"/>
    <s v="Nanyang Technological University"/>
    <s v="College of Business (Nanyang Business School)"/>
    <s v="Business and Computing"/>
    <n v="94.4"/>
    <n v="94.4"/>
    <s v="Business and Computing"/>
    <e v="#N/A"/>
    <x v="0"/>
  </r>
  <r>
    <x v="2"/>
    <s v="Nanyang Technological University"/>
    <s v="College of Business (Nanyang Business School)"/>
    <s v="Business and Computing* "/>
    <n v="94.399999999999991"/>
    <n v="83.3"/>
    <s v="Business and Computing"/>
    <e v="#N/A"/>
    <x v="0"/>
  </r>
  <r>
    <x v="5"/>
    <s v="Nanyang Technological University"/>
    <s v="College of Business (Nanyang Business School)"/>
    <s v="Business and Computing"/>
    <n v="92.9"/>
    <n v="89.3"/>
    <s v="Business and Computing"/>
    <e v="#N/A"/>
    <x v="0"/>
  </r>
  <r>
    <x v="3"/>
    <s v="Singapore Management University"/>
    <s v="School of Business (4-year programme) *"/>
    <s v="Business Management"/>
    <n v="93.9"/>
    <n v="88.2"/>
    <s v="Business Management"/>
    <e v="#N/A"/>
    <x v="0"/>
  </r>
  <r>
    <x v="1"/>
    <s v="Singapore Management University"/>
    <s v="School of Business (4-years programme) *"/>
    <s v="Business Management"/>
    <n v="93.3"/>
    <n v="85.7"/>
    <s v="Business Management"/>
    <e v="#N/A"/>
    <x v="0"/>
  </r>
  <r>
    <x v="0"/>
    <s v="Singapore Management University"/>
    <s v="School of Business (4-year programme) *"/>
    <s v="Business Management"/>
    <n v="92.4"/>
    <n v="84.6"/>
    <s v="Business Management"/>
    <e v="#N/A"/>
    <x v="0"/>
  </r>
  <r>
    <x v="4"/>
    <s v="Singapore Management University"/>
    <s v="School of Business (4-year programme) *"/>
    <s v="Business Management"/>
    <n v="91.6"/>
    <n v="86.5"/>
    <s v="Business Management"/>
    <e v="#N/A"/>
    <x v="0"/>
  </r>
  <r>
    <x v="2"/>
    <s v="Singapore Management University"/>
    <s v="School of Business (4-year programme)6"/>
    <s v="Business Management "/>
    <n v="91"/>
    <n v="84.8"/>
    <s v="Business Management"/>
    <e v="#N/A"/>
    <x v="0"/>
  </r>
  <r>
    <x v="5"/>
    <s v="Singapore Management University"/>
    <s v="School of Business (4-year programme) *"/>
    <s v="Business Management (4-year programme)"/>
    <n v="90.9"/>
    <n v="86.4"/>
    <s v="Business Management (4-year programme)"/>
    <e v="#N/A"/>
    <x v="0"/>
  </r>
  <r>
    <x v="5"/>
    <s v="Singapore Management University"/>
    <s v="School of Business (4-year programme) *"/>
    <s v="Business Management (4-year programme) Cum Laude and above"/>
    <n v="94.5"/>
    <n v="94"/>
    <s v="Business Management (4-year programme) Cum Laude and above"/>
    <e v="#N/A"/>
    <x v="0"/>
  </r>
  <r>
    <x v="6"/>
    <s v="Singapore Management University"/>
    <s v="School of Business (4-years programme) *"/>
    <s v="Business Management (4-years programme)"/>
    <n v="93.2"/>
    <n v="87.3"/>
    <s v="Business Management (4-years programme)"/>
    <e v="#N/A"/>
    <x v="0"/>
  </r>
  <r>
    <x v="6"/>
    <s v="Singapore Management University"/>
    <s v="School of Business (4-years programme) *"/>
    <s v="Business Management (4-years programme) Cum Laude and above"/>
    <n v="95.9"/>
    <n v="93.8"/>
    <s v="Business Management (4-years programme) Cum Laude and above"/>
    <e v="#N/A"/>
    <x v="0"/>
  </r>
  <r>
    <x v="4"/>
    <s v="Singapore Management University"/>
    <s v="School of Business (4-year programme) *"/>
    <s v="Business Management (Cum Laude and above)"/>
    <n v="97.4"/>
    <n v="95.6"/>
    <s v="Business Management (Cum Laude and above)"/>
    <e v="#N/A"/>
    <x v="0"/>
  </r>
  <r>
    <x v="3"/>
    <s v="Singapore Management University"/>
    <s v="School of Business (4-year programme) *"/>
    <s v="Business Management Cum Laude and above"/>
    <n v="98.3"/>
    <n v="93.3"/>
    <s v="Business Management Cum Laude and above"/>
    <e v="#N/A"/>
    <x v="0"/>
  </r>
  <r>
    <x v="0"/>
    <s v="Singapore Management University"/>
    <s v="School of Business (4-year programme) *"/>
    <s v="Business Management Cum Laude and above"/>
    <n v="96.1"/>
    <n v="92.1"/>
    <s v="Business Management Cum Laude and above"/>
    <e v="#N/A"/>
    <x v="0"/>
  </r>
  <r>
    <x v="1"/>
    <s v="Singapore Management University"/>
    <s v="School of Business (4-years programme) *"/>
    <s v="Business Management Cum Laude and above"/>
    <n v="95.8"/>
    <n v="92"/>
    <s v="Business Management Cum Laude and above"/>
    <e v="#N/A"/>
    <x v="0"/>
  </r>
  <r>
    <x v="6"/>
    <s v="Nanyang Technological University"/>
    <s v="College of Engineering"/>
    <s v="Chemical and Biomolecular Engineering"/>
    <n v="87.3"/>
    <n v="85.1"/>
    <s v="Chemical and Biomolecular Engineering"/>
    <e v="#N/A"/>
    <x v="3"/>
  </r>
  <r>
    <x v="2"/>
    <s v="Nanyang Technological University"/>
    <s v="College of Engineering"/>
    <s v="Chemical and Biomolecular Engineering "/>
    <n v="88.6"/>
    <n v="78.100000000000009"/>
    <s v="Chemical and Biomolecular Engineering"/>
    <e v="#N/A"/>
    <x v="3"/>
  </r>
  <r>
    <x v="3"/>
    <s v="Nanyang Technological University"/>
    <s v="College of Engineering"/>
    <s v="Chemical And Biomolecular Engineering"/>
    <n v="86.8"/>
    <n v="80.900000000000006"/>
    <s v="Chemical And Biomolecular Engineering"/>
    <e v="#N/A"/>
    <x v="3"/>
  </r>
  <r>
    <x v="5"/>
    <s v="Nanyang Technological University"/>
    <s v="College of Engineering"/>
    <s v="Chemical and Biomolecular Engineering"/>
    <n v="83.8"/>
    <n v="76.099999999999994"/>
    <s v="Chemical and Biomolecular Engineering"/>
    <e v="#N/A"/>
    <x v="3"/>
  </r>
  <r>
    <x v="0"/>
    <s v="Nanyang Technological University"/>
    <s v="College of Engineering"/>
    <s v="Chemical And Biomolecular Engineering"/>
    <n v="80.599999999999994"/>
    <n v="72.599999999999994"/>
    <s v="Chemical And Biomolecular Engineering"/>
    <e v="#N/A"/>
    <x v="3"/>
  </r>
  <r>
    <x v="4"/>
    <s v="Nanyang Technological University"/>
    <s v="College of Engineering"/>
    <s v="Chemical &amp; Biomolecular Engineering"/>
    <n v="91.6"/>
    <n v="86"/>
    <s v="Chemical Biomolecular Engineering"/>
    <e v="#N/A"/>
    <x v="3"/>
  </r>
  <r>
    <x v="3"/>
    <s v="Nanyang Technological University"/>
    <s v="College of Sciences"/>
    <s v="Chemistry &amp; Biological Chemistry"/>
    <n v="83.9"/>
    <n v="72.3"/>
    <s v="Chemistry Biological Chemistry"/>
    <e v="#N/A"/>
    <x v="5"/>
  </r>
  <r>
    <x v="2"/>
    <s v="Nanyang Technological University"/>
    <s v="College of Science"/>
    <s v="Chemistry &amp; Biological Chemistry "/>
    <n v="80.900000000000006"/>
    <n v="66.2"/>
    <s v="Chemistry Biological Chemistry"/>
    <e v="#N/A"/>
    <x v="5"/>
  </r>
  <r>
    <x v="0"/>
    <s v="Nanyang Technological University"/>
    <s v="College of Sciences"/>
    <s v="Chemistry &amp; Biological Chemistry"/>
    <n v="80.599999999999994"/>
    <n v="64.2"/>
    <s v="Chemistry Biological Chemistry"/>
    <e v="#N/A"/>
    <x v="5"/>
  </r>
  <r>
    <x v="5"/>
    <s v="Nanyang Technological University"/>
    <s v="College of Sciences"/>
    <s v="Chemistry &amp; Biological Chemistry"/>
    <n v="80.5"/>
    <n v="68.3"/>
    <s v="Chemistry Biological Chemistry"/>
    <e v="#N/A"/>
    <x v="5"/>
  </r>
  <r>
    <x v="6"/>
    <s v="Nanyang Technological University"/>
    <s v="College of Sciences"/>
    <s v="Chemistry &amp; Biological Chemistry"/>
    <n v="79.8"/>
    <n v="68.900000000000006"/>
    <s v="Chemistry Biological Chemistry"/>
    <e v="#N/A"/>
    <x v="5"/>
  </r>
  <r>
    <x v="4"/>
    <s v="Nanyang Technological University"/>
    <s v="College of Sciences"/>
    <s v="Chemistry &amp; Biological Chemistry"/>
    <n v="77.599999999999994"/>
    <n v="63.9"/>
    <s v="Chemistry Biological Chemistry"/>
    <e v="#N/A"/>
    <x v="5"/>
  </r>
  <r>
    <x v="6"/>
    <s v="Nanyang Technological University"/>
    <s v="College of Humanities, Arts &amp; Social Sciences"/>
    <s v="Chinese"/>
    <n v="85.1"/>
    <n v="80.5"/>
    <s v="Chinese"/>
    <e v="#N/A"/>
    <x v="7"/>
  </r>
  <r>
    <x v="1"/>
    <s v="Nanyang Technological University"/>
    <s v="College of Sciences"/>
    <s v="Double Degree in Bachelor of Science (Hons) in Biomedical Sciences and Bachelor of Medicine (Chinese Medicine) #"/>
    <n v="92"/>
    <n v="80"/>
    <s v="Double Degree in Bachelor of Science (Hons) in Biomedical Sciences and Bachelor of Medicine (Chinese Medicine)"/>
    <s v="Sciences"/>
    <x v="8"/>
  </r>
  <r>
    <x v="0"/>
    <s v="Nanyang Technological University"/>
    <s v="College of Humanities, Arts &amp; Social Sciences"/>
    <s v="Chinese"/>
    <n v="91.1"/>
    <n v="74.7"/>
    <s v="Chinese"/>
    <e v="#N/A"/>
    <x v="7"/>
  </r>
  <r>
    <x v="2"/>
    <s v="Nanyang Technological University"/>
    <s v="College of Humanities, Arts &amp; Social Sciences"/>
    <s v="Chinese "/>
    <n v="90.100000000000009"/>
    <n v="79"/>
    <s v="Chinese"/>
    <e v="#N/A"/>
    <x v="7"/>
  </r>
  <r>
    <x v="5"/>
    <s v="Nanyang Technological University"/>
    <s v="College of Humanities, Arts &amp; Social Sciences"/>
    <s v="Chinese"/>
    <n v="86.8"/>
    <n v="75.8"/>
    <s v="Chinese"/>
    <e v="#N/A"/>
    <x v="7"/>
  </r>
  <r>
    <x v="4"/>
    <s v="Nanyang Technological University"/>
    <s v="College of Humanities, Arts &amp; Social Sciences"/>
    <s v="Chinese"/>
    <n v="86.4"/>
    <n v="76.3"/>
    <s v="Chinese"/>
    <e v="#N/A"/>
    <x v="7"/>
  </r>
  <r>
    <x v="3"/>
    <s v="Nanyang Technological University"/>
    <s v="College of Humanities, Arts &amp; Social Sciences"/>
    <s v="Chinese"/>
    <n v="81.8"/>
    <n v="76.599999999999994"/>
    <s v="Chinese"/>
    <e v="#N/A"/>
    <x v="7"/>
  </r>
  <r>
    <x v="6"/>
    <s v="Nanyang Technological University"/>
    <s v="College of Engineering"/>
    <s v="Civil Engineering"/>
    <n v="94.8"/>
    <n v="93.8"/>
    <s v="Civil Engineering"/>
    <e v="#N/A"/>
    <x v="3"/>
  </r>
  <r>
    <x v="4"/>
    <s v="Nanyang Technological University"/>
    <s v="College of Engineering"/>
    <s v="Civil Engineering"/>
    <n v="96.5"/>
    <n v="96.5"/>
    <s v="Civil Engineering"/>
    <e v="#N/A"/>
    <x v="3"/>
  </r>
  <r>
    <x v="3"/>
    <s v="Nanyang Technological University"/>
    <s v="College of Engineering"/>
    <s v="Civil Engineering"/>
    <n v="95.3"/>
    <n v="93"/>
    <s v="Civil Engineering"/>
    <e v="#N/A"/>
    <x v="3"/>
  </r>
  <r>
    <x v="2"/>
    <s v="Nanyang Technological University"/>
    <s v="College of Engineering"/>
    <s v="Civil Engineering "/>
    <n v="94.899999999999991"/>
    <n v="90.600000000000009"/>
    <s v="Civil Engineering"/>
    <e v="#N/A"/>
    <x v="3"/>
  </r>
  <r>
    <x v="5"/>
    <s v="Nanyang Technological University"/>
    <s v="College of Engineering"/>
    <s v="Civil Engineering"/>
    <n v="93.8"/>
    <n v="92.9"/>
    <s v="Civil Engineering"/>
    <e v="#N/A"/>
    <x v="3"/>
  </r>
  <r>
    <x v="0"/>
    <s v="Nanyang Technological University"/>
    <s v="College of Engineering"/>
    <s v="Civil Engineering"/>
    <n v="92.4"/>
    <n v="91.6"/>
    <s v="Civil Engineering"/>
    <e v="#N/A"/>
    <x v="3"/>
  </r>
  <r>
    <x v="6"/>
    <s v="Nanyang Technological University"/>
    <s v="College of Humanities, Arts &amp; Social Sciences"/>
    <s v="Communication Studies"/>
    <n v="89.4"/>
    <n v="79.599999999999994"/>
    <s v="Communication Studies"/>
    <e v="#N/A"/>
    <x v="1"/>
  </r>
  <r>
    <x v="4"/>
    <s v="Nanyang Technological University"/>
    <s v="College of Humanities, Arts &amp; Social Sciences"/>
    <s v="Communication Studies"/>
    <n v="95"/>
    <n v="84.2"/>
    <s v="Communication Studies"/>
    <e v="#N/A"/>
    <x v="1"/>
  </r>
  <r>
    <x v="2"/>
    <s v="Nanyang Technological University"/>
    <s v="College of Humanities, Arts &amp; Social Sciences"/>
    <s v="Communication Studies "/>
    <n v="90.4"/>
    <n v="69.399999999999991"/>
    <s v="Communication Studies"/>
    <e v="#N/A"/>
    <x v="1"/>
  </r>
  <r>
    <x v="0"/>
    <s v="Nanyang Technological University"/>
    <s v="College of Humanities, Arts &amp; Social Sciences"/>
    <s v="Communication Studies"/>
    <n v="87.7"/>
    <n v="69.599999999999994"/>
    <s v="Communication Studies"/>
    <e v="#N/A"/>
    <x v="1"/>
  </r>
  <r>
    <x v="5"/>
    <s v="Nanyang Technological University"/>
    <s v="College of Humanities, Arts &amp; Social Sciences"/>
    <s v="Communication Studies"/>
    <n v="86.7"/>
    <n v="77.900000000000006"/>
    <s v="Communication Studies"/>
    <e v="#N/A"/>
    <x v="1"/>
  </r>
  <r>
    <x v="3"/>
    <s v="Nanyang Technological University"/>
    <s v="College of Humanities, Arts &amp; Social Sciences"/>
    <s v="Communication Studies"/>
    <n v="85.1"/>
    <n v="74.400000000000006"/>
    <s v="Communication Studies"/>
    <e v="#N/A"/>
    <x v="1"/>
  </r>
  <r>
    <x v="6"/>
    <s v="Nanyang Technological University"/>
    <s v="College of Engineering"/>
    <s v="Computer Engineering"/>
    <n v="90.3"/>
    <n v="88.2"/>
    <s v="Computer Engineering"/>
    <e v="#N/A"/>
    <x v="6"/>
  </r>
  <r>
    <x v="4"/>
    <s v="Nanyang Technological University"/>
    <s v="College of Engineering"/>
    <s v="Computer Engineering"/>
    <n v="95.8"/>
    <n v="95.8"/>
    <s v="Computer Engineering"/>
    <e v="#N/A"/>
    <x v="6"/>
  </r>
  <r>
    <x v="2"/>
    <s v="Nanyang Technological University"/>
    <s v="College of Engineering"/>
    <s v="Computer Engineering "/>
    <n v="94.6"/>
    <n v="94.6"/>
    <s v="Computer Engineering"/>
    <e v="#N/A"/>
    <x v="6"/>
  </r>
  <r>
    <x v="5"/>
    <s v="Nanyang Technological University"/>
    <s v="College of Engineering"/>
    <s v="Computer Engineering"/>
    <n v="91.4"/>
    <n v="88.8"/>
    <s v="Computer Engineering"/>
    <e v="#N/A"/>
    <x v="6"/>
  </r>
  <r>
    <x v="3"/>
    <s v="Nanyang Technological University"/>
    <s v="College of Engineering"/>
    <s v="Computer Engineering"/>
    <n v="85.1"/>
    <n v="83"/>
    <s v="Computer Engineering"/>
    <e v="#N/A"/>
    <x v="6"/>
  </r>
  <r>
    <x v="0"/>
    <s v="Nanyang Technological University"/>
    <s v="College of Engineering"/>
    <s v="Computer Engineering"/>
    <n v="83.3"/>
    <n v="75.900000000000006"/>
    <s v="Computer Engineering"/>
    <e v="#N/A"/>
    <x v="6"/>
  </r>
  <r>
    <x v="6"/>
    <s v="Nanyang Technological University"/>
    <s v="College of Engineering"/>
    <s v="Computer Science"/>
    <n v="92.1"/>
    <n v="88.5"/>
    <s v="Computer Science"/>
    <e v="#N/A"/>
    <x v="6"/>
  </r>
  <r>
    <x v="2"/>
    <s v="Nanyang Technological University"/>
    <s v="College of Engineering"/>
    <s v="Computer Science "/>
    <n v="97.399999999999991"/>
    <n v="95.899999999999991"/>
    <s v="Computer Science"/>
    <e v="#N/A"/>
    <x v="6"/>
  </r>
  <r>
    <x v="0"/>
    <s v="Nanyang Technological University"/>
    <s v="College of Engineering"/>
    <s v="Computer Science"/>
    <n v="94.6"/>
    <n v="91.4"/>
    <s v="Computer Science"/>
    <e v="#N/A"/>
    <x v="6"/>
  </r>
  <r>
    <x v="5"/>
    <s v="Nanyang Technological University"/>
    <s v="College of Engineering"/>
    <s v="Computer Science"/>
    <n v="94.5"/>
    <n v="93.7"/>
    <s v="Computer Science"/>
    <e v="#N/A"/>
    <x v="6"/>
  </r>
  <r>
    <x v="4"/>
    <s v="Nanyang Technological University"/>
    <s v="College of Engineering"/>
    <s v="Computer Science"/>
    <n v="94.4"/>
    <n v="93"/>
    <s v="Computer Science"/>
    <e v="#N/A"/>
    <x v="6"/>
  </r>
  <r>
    <x v="3"/>
    <s v="Nanyang Technological University"/>
    <s v="College of Engineering"/>
    <s v="Computer Science"/>
    <n v="92.4"/>
    <n v="91.4"/>
    <s v="Computer Science"/>
    <e v="#N/A"/>
    <x v="6"/>
  </r>
  <r>
    <x v="6"/>
    <s v="Nanyang Technological University"/>
    <s v="College of Humanities, Arts &amp; Social Sciences"/>
    <s v="Economics"/>
    <n v="89.9"/>
    <n v="83.5"/>
    <s v="Economics"/>
    <e v="#N/A"/>
    <x v="7"/>
  </r>
  <r>
    <x v="0"/>
    <s v="Singapore Management University"/>
    <s v="School of Economics (4-year programme) *"/>
    <s v="Economics"/>
    <n v="93.4"/>
    <n v="84"/>
    <s v="Economics"/>
    <e v="#N/A"/>
    <x v="7"/>
  </r>
  <r>
    <x v="0"/>
    <s v="Nanyang Technological University"/>
    <s v="College of Humanities, Arts &amp; Social Sciences"/>
    <s v="Economics"/>
    <n v="91.3"/>
    <n v="79.3"/>
    <s v="Economics"/>
    <e v="#N/A"/>
    <x v="7"/>
  </r>
  <r>
    <x v="1"/>
    <s v="Singapore Management University"/>
    <s v="School of Economics (4-years programme) *"/>
    <s v="Economics"/>
    <n v="91.3"/>
    <n v="82.6"/>
    <s v="Economics"/>
    <e v="#N/A"/>
    <x v="7"/>
  </r>
  <r>
    <x v="4"/>
    <s v="Singapore Management University"/>
    <s v="School of Economics (4-year programme) *"/>
    <s v="Economics"/>
    <n v="91.1"/>
    <n v="85.6"/>
    <s v="Economics"/>
    <e v="#N/A"/>
    <x v="7"/>
  </r>
  <r>
    <x v="3"/>
    <s v="Singapore Management University"/>
    <s v="School of Economics (4-year programme) *"/>
    <s v="Economics"/>
    <n v="90.3"/>
    <n v="85.8"/>
    <s v="Economics"/>
    <e v="#N/A"/>
    <x v="7"/>
  </r>
  <r>
    <x v="4"/>
    <s v="Nanyang Technological University"/>
    <s v="College of Humanities, Arts &amp; Social Sciences"/>
    <s v="Economics"/>
    <n v="90.1"/>
    <n v="84"/>
    <s v="Economics"/>
    <e v="#N/A"/>
    <x v="7"/>
  </r>
  <r>
    <x v="5"/>
    <s v="Nanyang Technological University"/>
    <s v="College of Humanities, Arts &amp; Social Sciences"/>
    <s v="Economics"/>
    <n v="88.7"/>
    <n v="78.400000000000006"/>
    <s v="Economics"/>
    <e v="#N/A"/>
    <x v="7"/>
  </r>
  <r>
    <x v="2"/>
    <s v="Nanyang Technological University"/>
    <s v="College of Humanities, Arts &amp; Social Sciences"/>
    <s v="Economics "/>
    <n v="88.2"/>
    <n v="79.800000000000011"/>
    <s v="Economics"/>
    <e v="#N/A"/>
    <x v="7"/>
  </r>
  <r>
    <x v="3"/>
    <s v="Nanyang Technological University"/>
    <s v="College of Humanities, Arts &amp; Social Sciences"/>
    <s v="Economics"/>
    <n v="87.4"/>
    <n v="75.900000000000006"/>
    <s v="Economics"/>
    <e v="#N/A"/>
    <x v="7"/>
  </r>
  <r>
    <x v="2"/>
    <s v="Singapore Management University"/>
    <s v="School of Economics (4-year programme)6"/>
    <s v="Economics "/>
    <n v="87.1"/>
    <n v="81.3"/>
    <s v="Economics"/>
    <e v="#N/A"/>
    <x v="7"/>
  </r>
  <r>
    <x v="5"/>
    <s v="Singapore Management University"/>
    <s v="School of Economics (4-year programme) *"/>
    <s v="Economics (4-year programme)"/>
    <n v="90.2"/>
    <n v="83.9"/>
    <s v="Economics (4-year programme)"/>
    <e v="#N/A"/>
    <x v="7"/>
  </r>
  <r>
    <x v="5"/>
    <s v="Singapore Management University"/>
    <s v="School of Economics (4-year programme) *"/>
    <s v="Economics (4-year programme) Cum Laude and above"/>
    <n v="90.6"/>
    <n v="89.1"/>
    <s v="Economics (4-year programme) Cum Laude and above"/>
    <e v="#N/A"/>
    <x v="7"/>
  </r>
  <r>
    <x v="6"/>
    <s v="Singapore Management University"/>
    <s v="School of Economics (4-years programme) *"/>
    <s v="Economics (4-years programme)"/>
    <n v="90.6"/>
    <n v="88.6"/>
    <s v="Economics (4-years programme)"/>
    <e v="#N/A"/>
    <x v="7"/>
  </r>
  <r>
    <x v="6"/>
    <s v="Singapore Management University"/>
    <s v="School of Economics (4-years programme) *"/>
    <s v="Economics (4-years programme) Cum Laude and above"/>
    <n v="94"/>
    <n v="94"/>
    <s v="Economics (4-years programme) Cum Laude and above"/>
    <e v="#N/A"/>
    <x v="7"/>
  </r>
  <r>
    <x v="4"/>
    <s v="Singapore Management University"/>
    <s v="School of Economics (4-year programme) *"/>
    <s v="Economics (Cum Laude and above)"/>
    <n v="93.4"/>
    <n v="89.5"/>
    <s v="Economics (Cum Laude and above)"/>
    <e v="#N/A"/>
    <x v="7"/>
  </r>
  <r>
    <x v="3"/>
    <s v="Singapore Management University"/>
    <s v="School of Economics (4-year programme) *"/>
    <s v="Economics Cum Laude and above"/>
    <n v="98.2"/>
    <n v="92.7"/>
    <s v="Economics Cum Laude and above"/>
    <e v="#N/A"/>
    <x v="7"/>
  </r>
  <r>
    <x v="0"/>
    <s v="Singapore Management University"/>
    <s v="School of Economics (4-year programme) *"/>
    <s v="Economics Cum Laude and above"/>
    <n v="97"/>
    <n v="92.5"/>
    <s v="Economics Cum Laude and above"/>
    <e v="#N/A"/>
    <x v="7"/>
  </r>
  <r>
    <x v="1"/>
    <s v="Singapore Management University"/>
    <s v="School of Economics (4-years programme) *"/>
    <s v="Economics Cum Laude and above"/>
    <n v="93.2"/>
    <n v="90.5"/>
    <s v="Economics Cum Laude and above"/>
    <e v="#N/A"/>
    <x v="7"/>
  </r>
  <r>
    <x v="6"/>
    <s v="Nanyang Technological University"/>
    <s v="College of Engineering"/>
    <s v="Electrical and Electronic Engineering"/>
    <n v="91"/>
    <n v="88.7"/>
    <s v="Electrical and Electronic Engineering"/>
    <e v="#N/A"/>
    <x v="3"/>
  </r>
  <r>
    <x v="2"/>
    <s v="Nanyang Technological University"/>
    <s v="College of Engineering"/>
    <s v="Electrical and Electronic Engineering "/>
    <n v="92.600000000000009"/>
    <n v="87.1"/>
    <s v="Electrical and Electronic Engineering"/>
    <e v="#N/A"/>
    <x v="3"/>
  </r>
  <r>
    <x v="5"/>
    <s v="Nanyang Technological University"/>
    <s v="College of Engineering"/>
    <s v="Electrical and Electronic Engineering"/>
    <n v="90.7"/>
    <n v="88.4"/>
    <s v="Electrical and Electronic Engineering"/>
    <e v="#N/A"/>
    <x v="3"/>
  </r>
  <r>
    <x v="0"/>
    <s v="Nanyang Technological University"/>
    <s v="College of Engineering"/>
    <s v="Electrical And Electronic Engineering"/>
    <n v="89.1"/>
    <n v="83.6"/>
    <s v="Electrical And Electronic Engineering"/>
    <e v="#N/A"/>
    <x v="3"/>
  </r>
  <r>
    <x v="3"/>
    <s v="Nanyang Technological University"/>
    <s v="College of Engineering"/>
    <s v="Electrical And Electronic Engineering"/>
    <n v="88.6"/>
    <n v="86.2"/>
    <s v="Electrical And Electronic Engineering"/>
    <e v="#N/A"/>
    <x v="3"/>
  </r>
  <r>
    <x v="4"/>
    <s v="Nanyang Technological University"/>
    <s v="College of Engineering"/>
    <s v="Electrical &amp; Electronic Engineering"/>
    <n v="92.7"/>
    <n v="91"/>
    <s v="Electrical Electronic Engineering"/>
    <e v="#N/A"/>
    <x v="3"/>
  </r>
  <r>
    <x v="3"/>
    <s v="Nanyang Technological University"/>
    <s v="College of Humanities, Arts &amp; Social Sciences"/>
    <s v="English"/>
    <n v="88"/>
    <n v="74"/>
    <s v="English"/>
    <e v="#N/A"/>
    <x v="7"/>
  </r>
  <r>
    <x v="5"/>
    <s v="Nanyang Technological University"/>
    <s v="College of Humanities, Arts &amp; Social Sciences"/>
    <s v="English"/>
    <n v="87"/>
    <n v="63"/>
    <s v="English"/>
    <e v="#N/A"/>
    <x v="7"/>
  </r>
  <r>
    <x v="2"/>
    <s v="Nanyang Technological University"/>
    <s v="College of Humanities, Arts &amp; Social Sciences"/>
    <s v="English "/>
    <n v="83.8"/>
    <n v="64.900000000000006"/>
    <s v="English"/>
    <e v="#N/A"/>
    <x v="7"/>
  </r>
  <r>
    <x v="6"/>
    <s v="Nanyang Technological University"/>
    <s v="College of Humanities, Arts &amp; Social Sciences"/>
    <s v="English"/>
    <n v="82.7"/>
    <n v="67.3"/>
    <s v="English"/>
    <e v="#N/A"/>
    <x v="7"/>
  </r>
  <r>
    <x v="4"/>
    <s v="Nanyang Technological University"/>
    <s v="College of Humanities, Arts &amp; Social Sciences"/>
    <s v="English"/>
    <n v="81.599999999999994"/>
    <n v="59.2"/>
    <s v="English"/>
    <e v="#N/A"/>
    <x v="7"/>
  </r>
  <r>
    <x v="0"/>
    <s v="Nanyang Technological University"/>
    <s v="College of Humanities, Arts &amp; Social Sciences"/>
    <s v="English"/>
    <n v="75"/>
    <n v="54.2"/>
    <s v="English"/>
    <e v="#N/A"/>
    <x v="7"/>
  </r>
  <r>
    <x v="4"/>
    <s v="Nanyang Technological University"/>
    <s v="College of Sciences"/>
    <s v="Environmental Earth Systems Science ^"/>
    <n v="76.2"/>
    <n v="57.1"/>
    <s v="Environmental Earth Systems Science"/>
    <e v="#N/A"/>
    <x v="5"/>
  </r>
  <r>
    <x v="2"/>
    <s v="Nanyang Technological University"/>
    <s v="College of Science"/>
    <s v="Environmental Earth Systems Sciences* "/>
    <n v="87.5"/>
    <n v="79.2"/>
    <s v="Environmental Earth Systems Sciences"/>
    <e v="#N/A"/>
    <x v="5"/>
  </r>
  <r>
    <x v="6"/>
    <s v="Nanyang Technological University"/>
    <s v="College of Engineering"/>
    <s v="Environmental Engineering"/>
    <n v="84"/>
    <n v="81.5"/>
    <s v="Environmental Engineering"/>
    <e v="#N/A"/>
    <x v="3"/>
  </r>
  <r>
    <x v="4"/>
    <s v="Nanyang Technological University"/>
    <s v="College of Engineering"/>
    <s v="Environmental Engineering"/>
    <n v="92.1"/>
    <n v="81.599999999999994"/>
    <s v="Environmental Engineering"/>
    <e v="#N/A"/>
    <x v="3"/>
  </r>
  <r>
    <x v="3"/>
    <s v="Nanyang Technological University"/>
    <s v="College of Engineering"/>
    <s v="Environmental Engineering"/>
    <n v="89.7"/>
    <n v="82.1"/>
    <s v="Environmental Engineering"/>
    <e v="#N/A"/>
    <x v="3"/>
  </r>
  <r>
    <x v="5"/>
    <s v="Nanyang Technological University"/>
    <s v="College of Engineering"/>
    <s v="Environmental Engineering"/>
    <n v="88.9"/>
    <n v="82.2"/>
    <s v="Environmental Engineering"/>
    <e v="#N/A"/>
    <x v="3"/>
  </r>
  <r>
    <x v="2"/>
    <s v="Nanyang Technological University"/>
    <s v="College of Engineering"/>
    <s v="Environmental Engineering "/>
    <n v="83.899999999999991"/>
    <n v="77.400000000000006"/>
    <s v="Environmental Engineering"/>
    <e v="#N/A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s v="NUS, NTU, SMU"/>
    <n v="15365"/>
    <n v="72"/>
    <n v="11062"/>
  </r>
  <r>
    <x v="1"/>
    <s v="NUS, NTU, SMU, SIT"/>
    <n v="14868"/>
    <n v="75"/>
    <n v="11151"/>
  </r>
  <r>
    <x v="2"/>
    <s v="NUS"/>
    <n v="6188"/>
    <n v="74.8"/>
    <n v="4628"/>
  </r>
  <r>
    <x v="2"/>
    <s v="NTU"/>
    <n v="5774"/>
    <n v="71.900000000000006"/>
    <n v="4151"/>
  </r>
  <r>
    <x v="2"/>
    <s v="SMU"/>
    <n v="1638"/>
    <n v="76.2"/>
    <n v="1248"/>
  </r>
  <r>
    <x v="2"/>
    <s v="SIT"/>
    <n v="1363"/>
    <n v="78.900000000000006"/>
    <n v="1075"/>
  </r>
  <r>
    <x v="2"/>
    <s v="SUTD"/>
    <n v="298"/>
    <n v="86.2"/>
    <n v="256"/>
  </r>
  <r>
    <x v="3"/>
    <s v="NTU"/>
    <n v="5836"/>
    <n v="77"/>
    <n v="4493"/>
  </r>
  <r>
    <x v="3"/>
    <s v="NUS"/>
    <n v="6314"/>
    <n v="80.400000000000006"/>
    <n v="5076"/>
  </r>
  <r>
    <x v="3"/>
    <s v="SMU"/>
    <n v="1803"/>
    <n v="74.099999999999994"/>
    <n v="1336"/>
  </r>
  <r>
    <x v="3"/>
    <s v="SUTD"/>
    <n v="246"/>
    <n v="83.7"/>
    <n v="205"/>
  </r>
  <r>
    <x v="3"/>
    <s v="SIT"/>
    <n v="1230"/>
    <n v="84.6"/>
    <n v="1040"/>
  </r>
  <r>
    <x v="4"/>
    <s v="NTU"/>
    <n v="6042"/>
    <n v="84.3"/>
    <n v="5093"/>
  </r>
  <r>
    <x v="4"/>
    <s v="NTU"/>
    <n v="30"/>
    <n v="100"/>
    <n v="30"/>
  </r>
  <r>
    <x v="4"/>
    <s v="NUS"/>
    <n v="6466"/>
    <n v="80.599999999999994"/>
    <n v="5211"/>
  </r>
  <r>
    <x v="4"/>
    <s v="NUS"/>
    <n v="825"/>
    <n v="72.099999999999994"/>
    <n v="594"/>
  </r>
  <r>
    <x v="4"/>
    <s v="SMU"/>
    <n v="1779"/>
    <n v="77.599999999999994"/>
    <n v="1380"/>
  </r>
  <r>
    <x v="4"/>
    <s v="SMU"/>
    <n v="114"/>
    <n v="75.400000000000006"/>
    <n v="85"/>
  </r>
  <r>
    <x v="4"/>
    <s v="SUTD"/>
    <n v="228"/>
    <n v="85.4"/>
    <n v="194"/>
  </r>
  <r>
    <x v="4"/>
    <s v="SIT"/>
    <n v="1530"/>
    <n v="85.6"/>
    <n v="1309"/>
  </r>
  <r>
    <x v="5"/>
    <s v="NTU"/>
    <n v="5900"/>
    <n v="75.900000000000006"/>
    <n v="4478"/>
  </r>
  <r>
    <x v="5"/>
    <s v="NTU"/>
    <n v="28"/>
    <n v="96.4"/>
    <n v="26"/>
  </r>
  <r>
    <x v="5"/>
    <s v="NUS"/>
    <n v="6699"/>
    <n v="76.3"/>
    <n v="5111"/>
  </r>
  <r>
    <x v="5"/>
    <s v="NUS"/>
    <n v="877"/>
    <n v="68.400000000000006"/>
    <n v="599"/>
  </r>
  <r>
    <x v="5"/>
    <s v="SMU"/>
    <n v="1886"/>
    <n v="79.7"/>
    <n v="1503"/>
  </r>
  <r>
    <x v="5"/>
    <s v="SMU"/>
    <n v="145"/>
    <n v="77.2"/>
    <n v="111"/>
  </r>
  <r>
    <x v="5"/>
    <s v="SUSS"/>
    <n v="168"/>
    <n v="91.7"/>
    <n v="154"/>
  </r>
  <r>
    <x v="5"/>
    <s v="SUTD"/>
    <n v="334"/>
    <n v="85.3"/>
    <n v="284"/>
  </r>
  <r>
    <x v="5"/>
    <s v="SUTD"/>
    <n v="76"/>
    <n v="84.2"/>
    <n v="63"/>
  </r>
  <r>
    <x v="5"/>
    <s v="SIT"/>
    <n v="1707"/>
    <n v="85.2"/>
    <n v="1454"/>
  </r>
  <r>
    <x v="6"/>
    <s v="NUS"/>
    <n v="6609"/>
    <n v="77.900000000000006"/>
    <n v="5148"/>
  </r>
  <r>
    <x v="6"/>
    <s v="NUS"/>
    <n v="870"/>
    <n v="74.7"/>
    <n v="649"/>
  </r>
  <r>
    <x v="6"/>
    <s v="NTU"/>
    <n v="5909"/>
    <n v="78.400000000000006"/>
    <n v="4632"/>
  </r>
  <r>
    <x v="6"/>
    <s v="NTU"/>
    <n v="75"/>
    <n v="80"/>
    <n v="60"/>
  </r>
  <r>
    <x v="6"/>
    <s v="SMU"/>
    <n v="1842"/>
    <n v="77"/>
    <n v="1418"/>
  </r>
  <r>
    <x v="6"/>
    <s v="SMU"/>
    <n v="161"/>
    <n v="72.7"/>
    <n v="117"/>
  </r>
  <r>
    <x v="6"/>
    <s v="SUTD"/>
    <n v="431"/>
    <n v="85.8"/>
    <n v="369"/>
  </r>
  <r>
    <x v="6"/>
    <s v="SUTD"/>
    <n v="62"/>
    <n v="80.599999999999994"/>
    <n v="49"/>
  </r>
  <r>
    <x v="6"/>
    <s v="SIT"/>
    <n v="1809"/>
    <n v="83.3"/>
    <n v="1506"/>
  </r>
  <r>
    <x v="6"/>
    <s v="SUSS"/>
    <n v="252"/>
    <n v="87.3"/>
    <n v="2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4EC8E8-58E9-4C19-9582-099E0EDF0C39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1" firstHeaderRow="1" firstDataRow="1" firstDataCol="1"/>
  <pivotFields count="5"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dataField="1" numFmtId="164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No. of Response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249A4-A1FE-4A60-B9B0-FF596ADD88C6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B11" firstHeaderRow="1" firstDataRow="1" firstDataCol="1"/>
  <pivotFields count="9">
    <pivotField axis="axisRow" showAll="0">
      <items count="8">
        <item x="6"/>
        <item x="5"/>
        <item x="3"/>
        <item x="0"/>
        <item x="1"/>
        <item x="4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Average of employment_rate_overall" fld="4" subtotal="average" baseField="0" baseItem="0"/>
  </dataFields>
  <formats count="1">
    <format dxfId="1">
      <pivotArea outline="0" collapsedLevelsAreSubtotals="1" fieldPosition="0">
        <references count="1">
          <reference field="0" count="0" selected="0"/>
        </references>
      </pivotArea>
    </format>
  </formats>
  <chartFormats count="1">
    <chartFormat chart="3" format="2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2DB3D-E71D-4F41-B457-3147DB0778D2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1:K10" firstHeaderRow="1" firstDataRow="2" firstDataCol="1"/>
  <pivotFields count="9">
    <pivotField axis="axisRow" showAll="0">
      <items count="8">
        <item x="6"/>
        <item x="5"/>
        <item x="3"/>
        <item x="0"/>
        <item x="1"/>
        <item x="4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10">
        <item x="1"/>
        <item x="0"/>
        <item x="3"/>
        <item x="4"/>
        <item x="7"/>
        <item x="5"/>
        <item x="2"/>
        <item x="6"/>
        <item x="8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8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Average of employment_rate_overall" fld="4" subtotal="average" baseField="8" baseItem="0" numFmtId="2"/>
  </dataFields>
  <formats count="1">
    <format dxfId="0">
      <pivotArea outline="0" collapsedLevelsAreSubtotals="1" fieldPosition="0"/>
    </format>
  </formats>
  <chartFormats count="3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04"/>
  <sheetViews>
    <sheetView workbookViewId="0">
      <selection activeCell="G1" sqref="G1"/>
    </sheetView>
  </sheetViews>
  <sheetFormatPr defaultRowHeight="14.4" x14ac:dyDescent="0.55000000000000004"/>
  <cols>
    <col min="2" max="2" width="17.26171875" customWidth="1"/>
    <col min="3" max="3" width="30.05078125" customWidth="1"/>
    <col min="4" max="4" width="45.26171875" customWidth="1"/>
  </cols>
  <sheetData>
    <row r="1" spans="1:12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55000000000000004">
      <c r="A2">
        <v>2013</v>
      </c>
      <c r="B2" t="s">
        <v>12</v>
      </c>
      <c r="C2" t="s">
        <v>13</v>
      </c>
      <c r="D2" t="s">
        <v>14</v>
      </c>
      <c r="E2">
        <v>97.4</v>
      </c>
      <c r="F2">
        <v>96.1</v>
      </c>
      <c r="G2">
        <v>3701</v>
      </c>
      <c r="H2">
        <v>3200</v>
      </c>
      <c r="I2">
        <v>3727</v>
      </c>
      <c r="J2">
        <v>3350</v>
      </c>
      <c r="K2">
        <v>2900</v>
      </c>
      <c r="L2">
        <v>4000</v>
      </c>
    </row>
    <row r="3" spans="1:12" x14ac:dyDescent="0.55000000000000004">
      <c r="A3">
        <v>2013</v>
      </c>
      <c r="B3" t="s">
        <v>12</v>
      </c>
      <c r="C3" t="s">
        <v>13</v>
      </c>
      <c r="D3" t="s">
        <v>15</v>
      </c>
      <c r="E3">
        <v>97.1</v>
      </c>
      <c r="F3">
        <v>95.7</v>
      </c>
      <c r="G3">
        <v>2850</v>
      </c>
      <c r="H3">
        <v>2700</v>
      </c>
      <c r="I3">
        <v>2938</v>
      </c>
      <c r="J3">
        <v>2700</v>
      </c>
      <c r="K3">
        <v>2700</v>
      </c>
      <c r="L3">
        <v>2900</v>
      </c>
    </row>
    <row r="4" spans="1:12" x14ac:dyDescent="0.55000000000000004">
      <c r="A4">
        <v>2013</v>
      </c>
      <c r="B4" t="s">
        <v>12</v>
      </c>
      <c r="C4" t="s">
        <v>13</v>
      </c>
      <c r="D4" t="s">
        <v>16</v>
      </c>
      <c r="E4">
        <v>90.9</v>
      </c>
      <c r="F4">
        <v>85.7</v>
      </c>
      <c r="G4">
        <v>3053</v>
      </c>
      <c r="H4">
        <v>3000</v>
      </c>
      <c r="I4">
        <v>3214</v>
      </c>
      <c r="J4">
        <v>3000</v>
      </c>
      <c r="K4">
        <v>2700</v>
      </c>
      <c r="L4">
        <v>3500</v>
      </c>
    </row>
    <row r="5" spans="1:12" x14ac:dyDescent="0.55000000000000004">
      <c r="A5">
        <v>2013</v>
      </c>
      <c r="B5" t="s">
        <v>12</v>
      </c>
      <c r="C5" t="s">
        <v>13</v>
      </c>
      <c r="D5" t="s">
        <v>17</v>
      </c>
      <c r="E5">
        <v>87.5</v>
      </c>
      <c r="F5">
        <v>87.5</v>
      </c>
      <c r="G5">
        <v>3557</v>
      </c>
      <c r="H5">
        <v>3400</v>
      </c>
      <c r="I5">
        <v>3615</v>
      </c>
      <c r="J5">
        <v>3400</v>
      </c>
      <c r="K5">
        <v>3000</v>
      </c>
      <c r="L5">
        <v>4100</v>
      </c>
    </row>
    <row r="6" spans="1:12" x14ac:dyDescent="0.55000000000000004">
      <c r="A6">
        <v>2013</v>
      </c>
      <c r="B6" t="s">
        <v>12</v>
      </c>
      <c r="C6" t="s">
        <v>18</v>
      </c>
      <c r="D6" t="s">
        <v>19</v>
      </c>
      <c r="E6">
        <v>95.3</v>
      </c>
      <c r="F6">
        <v>95.3</v>
      </c>
      <c r="G6">
        <v>3494</v>
      </c>
      <c r="H6">
        <v>3500</v>
      </c>
      <c r="I6">
        <v>3536</v>
      </c>
      <c r="J6">
        <v>3500</v>
      </c>
      <c r="K6">
        <v>3100</v>
      </c>
      <c r="L6">
        <v>3816</v>
      </c>
    </row>
    <row r="7" spans="1:12" x14ac:dyDescent="0.55000000000000004">
      <c r="A7">
        <v>2013</v>
      </c>
      <c r="B7" t="s">
        <v>12</v>
      </c>
      <c r="C7" t="s">
        <v>18</v>
      </c>
      <c r="D7" t="s">
        <v>20</v>
      </c>
      <c r="E7">
        <v>81.3</v>
      </c>
      <c r="F7">
        <v>68.8</v>
      </c>
      <c r="G7">
        <v>2952</v>
      </c>
      <c r="H7">
        <v>2900</v>
      </c>
      <c r="I7">
        <v>3166</v>
      </c>
      <c r="J7">
        <v>3125</v>
      </c>
      <c r="K7">
        <v>2893</v>
      </c>
      <c r="L7">
        <v>3365</v>
      </c>
    </row>
    <row r="8" spans="1:12" x14ac:dyDescent="0.55000000000000004">
      <c r="A8">
        <v>2013</v>
      </c>
      <c r="B8" t="s">
        <v>12</v>
      </c>
      <c r="C8" t="s">
        <v>18</v>
      </c>
      <c r="D8" t="s">
        <v>21</v>
      </c>
      <c r="E8">
        <v>87.3</v>
      </c>
      <c r="F8">
        <v>85.1</v>
      </c>
      <c r="G8">
        <v>3235</v>
      </c>
      <c r="H8">
        <v>3000</v>
      </c>
      <c r="I8">
        <v>3377</v>
      </c>
      <c r="J8">
        <v>3200</v>
      </c>
      <c r="K8">
        <v>3000</v>
      </c>
      <c r="L8">
        <v>3800</v>
      </c>
    </row>
    <row r="9" spans="1:12" x14ac:dyDescent="0.55000000000000004">
      <c r="A9">
        <v>2013</v>
      </c>
      <c r="B9" t="s">
        <v>12</v>
      </c>
      <c r="C9" t="s">
        <v>18</v>
      </c>
      <c r="D9" t="s">
        <v>22</v>
      </c>
      <c r="E9">
        <v>90.3</v>
      </c>
      <c r="F9">
        <v>88.2</v>
      </c>
      <c r="G9">
        <v>3326</v>
      </c>
      <c r="H9">
        <v>3100</v>
      </c>
      <c r="I9">
        <v>3374</v>
      </c>
      <c r="J9">
        <v>3175</v>
      </c>
      <c r="K9">
        <v>3000</v>
      </c>
      <c r="L9">
        <v>3600</v>
      </c>
    </row>
    <row r="10" spans="1:12" x14ac:dyDescent="0.55000000000000004">
      <c r="A10">
        <v>2013</v>
      </c>
      <c r="B10" t="s">
        <v>12</v>
      </c>
      <c r="C10" t="s">
        <v>18</v>
      </c>
      <c r="D10" t="s">
        <v>23</v>
      </c>
      <c r="E10">
        <v>94.8</v>
      </c>
      <c r="F10">
        <v>93.8</v>
      </c>
      <c r="G10">
        <v>3091</v>
      </c>
      <c r="H10">
        <v>3000</v>
      </c>
      <c r="I10">
        <v>3182</v>
      </c>
      <c r="J10">
        <v>3100</v>
      </c>
      <c r="K10">
        <v>3000</v>
      </c>
      <c r="L10">
        <v>3380</v>
      </c>
    </row>
    <row r="11" spans="1:12" x14ac:dyDescent="0.55000000000000004">
      <c r="A11">
        <v>2013</v>
      </c>
      <c r="B11" t="s">
        <v>12</v>
      </c>
      <c r="C11" t="s">
        <v>18</v>
      </c>
      <c r="D11" t="s">
        <v>24</v>
      </c>
      <c r="E11">
        <v>92.1</v>
      </c>
      <c r="F11">
        <v>88.5</v>
      </c>
      <c r="G11">
        <v>3249</v>
      </c>
      <c r="H11">
        <v>3000</v>
      </c>
      <c r="I11">
        <v>3306</v>
      </c>
      <c r="J11">
        <v>3125</v>
      </c>
      <c r="K11">
        <v>3000</v>
      </c>
      <c r="L11">
        <v>3600</v>
      </c>
    </row>
    <row r="12" spans="1:12" x14ac:dyDescent="0.55000000000000004">
      <c r="A12">
        <v>2013</v>
      </c>
      <c r="B12" t="s">
        <v>12</v>
      </c>
      <c r="C12" t="s">
        <v>18</v>
      </c>
      <c r="D12" t="s">
        <v>25</v>
      </c>
      <c r="E12">
        <v>91</v>
      </c>
      <c r="F12">
        <v>88.7</v>
      </c>
      <c r="G12">
        <v>3133</v>
      </c>
      <c r="H12">
        <v>3000</v>
      </c>
      <c r="I12">
        <v>3187</v>
      </c>
      <c r="J12">
        <v>3100</v>
      </c>
      <c r="K12">
        <v>3000</v>
      </c>
      <c r="L12">
        <v>3440</v>
      </c>
    </row>
    <row r="13" spans="1:12" x14ac:dyDescent="0.55000000000000004">
      <c r="A13">
        <v>2013</v>
      </c>
      <c r="B13" t="s">
        <v>12</v>
      </c>
      <c r="C13" t="s">
        <v>18</v>
      </c>
      <c r="D13" t="s">
        <v>26</v>
      </c>
      <c r="E13">
        <v>84</v>
      </c>
      <c r="F13">
        <v>81.5</v>
      </c>
      <c r="G13">
        <v>3091</v>
      </c>
      <c r="H13">
        <v>3000</v>
      </c>
      <c r="I13">
        <v>3140</v>
      </c>
      <c r="J13">
        <v>3000</v>
      </c>
      <c r="K13">
        <v>3000</v>
      </c>
      <c r="L13">
        <v>3300</v>
      </c>
    </row>
    <row r="14" spans="1:12" x14ac:dyDescent="0.55000000000000004">
      <c r="A14">
        <v>2013</v>
      </c>
      <c r="B14" t="s">
        <v>12</v>
      </c>
      <c r="C14" t="s">
        <v>18</v>
      </c>
      <c r="D14" t="s">
        <v>27</v>
      </c>
      <c r="E14">
        <v>85.7</v>
      </c>
      <c r="F14">
        <v>79.599999999999994</v>
      </c>
      <c r="G14">
        <v>3160</v>
      </c>
      <c r="H14">
        <v>3150</v>
      </c>
      <c r="I14">
        <v>3203</v>
      </c>
      <c r="J14">
        <v>3200</v>
      </c>
      <c r="K14">
        <v>2950</v>
      </c>
      <c r="L14">
        <v>3400</v>
      </c>
    </row>
    <row r="15" spans="1:12" x14ac:dyDescent="0.55000000000000004">
      <c r="A15">
        <v>2013</v>
      </c>
      <c r="B15" t="s">
        <v>12</v>
      </c>
      <c r="C15" t="s">
        <v>18</v>
      </c>
      <c r="D15" t="s">
        <v>28</v>
      </c>
      <c r="E15">
        <v>82.5</v>
      </c>
      <c r="F15">
        <v>78.900000000000006</v>
      </c>
      <c r="G15">
        <v>2989</v>
      </c>
      <c r="H15">
        <v>3000</v>
      </c>
      <c r="I15">
        <v>3096</v>
      </c>
      <c r="J15">
        <v>3000</v>
      </c>
      <c r="K15">
        <v>2800</v>
      </c>
      <c r="L15">
        <v>3300</v>
      </c>
    </row>
    <row r="16" spans="1:12" x14ac:dyDescent="0.55000000000000004">
      <c r="A16">
        <v>2013</v>
      </c>
      <c r="B16" t="s">
        <v>12</v>
      </c>
      <c r="C16" t="s">
        <v>18</v>
      </c>
      <c r="D16" t="s">
        <v>29</v>
      </c>
      <c r="E16">
        <v>91.6</v>
      </c>
      <c r="F16">
        <v>89.5</v>
      </c>
      <c r="G16">
        <v>3125</v>
      </c>
      <c r="H16">
        <v>3000</v>
      </c>
      <c r="I16">
        <v>3226</v>
      </c>
      <c r="J16">
        <v>3100</v>
      </c>
      <c r="K16">
        <v>3000</v>
      </c>
      <c r="L16">
        <v>3500</v>
      </c>
    </row>
    <row r="17" spans="1:12" x14ac:dyDescent="0.55000000000000004">
      <c r="A17">
        <v>2013</v>
      </c>
      <c r="B17" t="s">
        <v>12</v>
      </c>
      <c r="C17" t="s">
        <v>18</v>
      </c>
      <c r="D17" t="s">
        <v>30</v>
      </c>
      <c r="E17">
        <v>95.6</v>
      </c>
      <c r="F17">
        <v>93.3</v>
      </c>
      <c r="G17">
        <v>3050</v>
      </c>
      <c r="H17">
        <v>3000</v>
      </c>
      <c r="I17">
        <v>3111</v>
      </c>
      <c r="J17">
        <v>3000</v>
      </c>
      <c r="K17">
        <v>2850</v>
      </c>
      <c r="L17">
        <v>3200</v>
      </c>
    </row>
    <row r="18" spans="1:12" x14ac:dyDescent="0.55000000000000004">
      <c r="A18">
        <v>2013</v>
      </c>
      <c r="B18" t="s">
        <v>12</v>
      </c>
      <c r="C18" t="s">
        <v>31</v>
      </c>
      <c r="D18" t="s">
        <v>32</v>
      </c>
      <c r="E18">
        <v>81.599999999999994</v>
      </c>
      <c r="F18">
        <v>61.4</v>
      </c>
      <c r="G18">
        <v>2639</v>
      </c>
      <c r="H18">
        <v>2500</v>
      </c>
      <c r="I18">
        <v>2638</v>
      </c>
      <c r="J18">
        <v>2500</v>
      </c>
      <c r="K18">
        <v>2300</v>
      </c>
      <c r="L18">
        <v>2900</v>
      </c>
    </row>
    <row r="19" spans="1:12" x14ac:dyDescent="0.55000000000000004">
      <c r="A19">
        <v>2013</v>
      </c>
      <c r="B19" t="s">
        <v>12</v>
      </c>
      <c r="C19" t="s">
        <v>31</v>
      </c>
      <c r="D19" t="s">
        <v>33</v>
      </c>
      <c r="E19">
        <v>85.1</v>
      </c>
      <c r="F19">
        <v>80.5</v>
      </c>
      <c r="G19">
        <v>2818</v>
      </c>
      <c r="H19">
        <v>2800</v>
      </c>
      <c r="I19">
        <v>2924</v>
      </c>
      <c r="J19">
        <v>3000</v>
      </c>
      <c r="K19">
        <v>2600</v>
      </c>
      <c r="L19">
        <v>3300</v>
      </c>
    </row>
    <row r="20" spans="1:12" x14ac:dyDescent="0.55000000000000004">
      <c r="A20">
        <v>2013</v>
      </c>
      <c r="B20" t="s">
        <v>12</v>
      </c>
      <c r="C20" t="s">
        <v>31</v>
      </c>
      <c r="D20" t="s">
        <v>34</v>
      </c>
      <c r="E20">
        <v>89.4</v>
      </c>
      <c r="F20">
        <v>79.599999999999994</v>
      </c>
      <c r="G20">
        <v>2893</v>
      </c>
      <c r="H20">
        <v>2930</v>
      </c>
      <c r="I20">
        <v>2956</v>
      </c>
      <c r="J20">
        <v>3000</v>
      </c>
      <c r="K20">
        <v>2700</v>
      </c>
      <c r="L20">
        <v>3250</v>
      </c>
    </row>
    <row r="21" spans="1:12" x14ac:dyDescent="0.55000000000000004">
      <c r="A21">
        <v>2013</v>
      </c>
      <c r="B21" t="s">
        <v>12</v>
      </c>
      <c r="C21" t="s">
        <v>31</v>
      </c>
      <c r="D21" t="s">
        <v>35</v>
      </c>
      <c r="E21">
        <v>89.9</v>
      </c>
      <c r="F21">
        <v>83.5</v>
      </c>
      <c r="G21">
        <v>3085</v>
      </c>
      <c r="H21">
        <v>3000</v>
      </c>
      <c r="I21">
        <v>3148</v>
      </c>
      <c r="J21">
        <v>3000</v>
      </c>
      <c r="K21">
        <v>2800</v>
      </c>
      <c r="L21">
        <v>3545</v>
      </c>
    </row>
    <row r="22" spans="1:12" x14ac:dyDescent="0.55000000000000004">
      <c r="A22">
        <v>2013</v>
      </c>
      <c r="B22" t="s">
        <v>12</v>
      </c>
      <c r="C22" t="s">
        <v>31</v>
      </c>
      <c r="D22" t="s">
        <v>36</v>
      </c>
      <c r="E22">
        <v>82.7</v>
      </c>
      <c r="F22">
        <v>67.3</v>
      </c>
      <c r="G22">
        <v>3087</v>
      </c>
      <c r="H22">
        <v>3000</v>
      </c>
      <c r="I22">
        <v>3179</v>
      </c>
      <c r="J22">
        <v>3100</v>
      </c>
      <c r="K22">
        <v>2800</v>
      </c>
      <c r="L22">
        <v>3400</v>
      </c>
    </row>
    <row r="23" spans="1:12" x14ac:dyDescent="0.55000000000000004">
      <c r="A23">
        <v>2013</v>
      </c>
      <c r="B23" t="s">
        <v>12</v>
      </c>
      <c r="C23" t="s">
        <v>31</v>
      </c>
      <c r="D23" t="s">
        <v>37</v>
      </c>
      <c r="E23">
        <v>90.6</v>
      </c>
      <c r="F23">
        <v>81.3</v>
      </c>
      <c r="G23">
        <v>2691</v>
      </c>
      <c r="H23">
        <v>2600</v>
      </c>
      <c r="I23">
        <v>2725</v>
      </c>
      <c r="J23">
        <v>2625</v>
      </c>
      <c r="K23">
        <v>2475</v>
      </c>
      <c r="L23">
        <v>3018</v>
      </c>
    </row>
    <row r="24" spans="1:12" x14ac:dyDescent="0.55000000000000004">
      <c r="A24">
        <v>2013</v>
      </c>
      <c r="B24" t="s">
        <v>12</v>
      </c>
      <c r="C24" t="s">
        <v>31</v>
      </c>
      <c r="D24" t="s">
        <v>38</v>
      </c>
      <c r="E24">
        <v>82.4</v>
      </c>
      <c r="F24">
        <v>71.8</v>
      </c>
      <c r="G24">
        <v>3007</v>
      </c>
      <c r="H24">
        <v>3000</v>
      </c>
      <c r="I24">
        <v>3061</v>
      </c>
      <c r="J24">
        <v>3000</v>
      </c>
      <c r="K24">
        <v>2750</v>
      </c>
      <c r="L24">
        <v>3255</v>
      </c>
    </row>
    <row r="25" spans="1:12" x14ac:dyDescent="0.55000000000000004">
      <c r="A25">
        <v>2013</v>
      </c>
      <c r="B25" t="s">
        <v>12</v>
      </c>
      <c r="C25" t="s">
        <v>31</v>
      </c>
      <c r="D25" t="s">
        <v>39</v>
      </c>
      <c r="E25">
        <v>74.400000000000006</v>
      </c>
      <c r="F25">
        <v>55.8</v>
      </c>
      <c r="G25">
        <v>2980</v>
      </c>
      <c r="H25">
        <v>3000</v>
      </c>
      <c r="I25">
        <v>3082</v>
      </c>
      <c r="J25">
        <v>3100</v>
      </c>
      <c r="K25">
        <v>2800</v>
      </c>
      <c r="L25">
        <v>3310</v>
      </c>
    </row>
    <row r="26" spans="1:12" x14ac:dyDescent="0.55000000000000004">
      <c r="A26">
        <v>2013</v>
      </c>
      <c r="B26" t="s">
        <v>12</v>
      </c>
      <c r="C26" t="s">
        <v>40</v>
      </c>
      <c r="D26" t="s">
        <v>41</v>
      </c>
      <c r="E26" t="s">
        <v>42</v>
      </c>
      <c r="F26" t="s">
        <v>42</v>
      </c>
      <c r="G26" t="s">
        <v>42</v>
      </c>
      <c r="H26" t="s">
        <v>42</v>
      </c>
      <c r="I26" t="s">
        <v>42</v>
      </c>
      <c r="J26" t="s">
        <v>42</v>
      </c>
      <c r="K26" t="s">
        <v>42</v>
      </c>
      <c r="L26" t="s">
        <v>42</v>
      </c>
    </row>
    <row r="27" spans="1:12" x14ac:dyDescent="0.55000000000000004">
      <c r="A27">
        <v>2013</v>
      </c>
      <c r="B27" t="s">
        <v>12</v>
      </c>
      <c r="C27" t="s">
        <v>40</v>
      </c>
      <c r="D27" t="s">
        <v>43</v>
      </c>
      <c r="E27">
        <v>90.7</v>
      </c>
      <c r="F27">
        <v>88.4</v>
      </c>
      <c r="G27">
        <v>2840</v>
      </c>
      <c r="H27">
        <v>2800</v>
      </c>
      <c r="I27">
        <v>2883</v>
      </c>
      <c r="J27">
        <v>2807</v>
      </c>
      <c r="K27">
        <v>2700</v>
      </c>
      <c r="L27">
        <v>3000</v>
      </c>
    </row>
    <row r="28" spans="1:12" x14ac:dyDescent="0.55000000000000004">
      <c r="A28">
        <v>2013</v>
      </c>
      <c r="B28" t="s">
        <v>12</v>
      </c>
      <c r="C28" t="s">
        <v>40</v>
      </c>
      <c r="D28" t="s">
        <v>44</v>
      </c>
      <c r="E28">
        <v>78.599999999999994</v>
      </c>
      <c r="F28">
        <v>68.099999999999994</v>
      </c>
      <c r="G28">
        <v>2881</v>
      </c>
      <c r="H28">
        <v>2900</v>
      </c>
      <c r="I28">
        <v>3002</v>
      </c>
      <c r="J28">
        <v>3000</v>
      </c>
      <c r="K28">
        <v>2700</v>
      </c>
      <c r="L28">
        <v>3250</v>
      </c>
    </row>
    <row r="29" spans="1:12" x14ac:dyDescent="0.55000000000000004">
      <c r="A29">
        <v>2013</v>
      </c>
      <c r="B29" t="s">
        <v>12</v>
      </c>
      <c r="C29" t="s">
        <v>40</v>
      </c>
      <c r="D29" t="s">
        <v>45</v>
      </c>
      <c r="E29">
        <v>79.8</v>
      </c>
      <c r="F29">
        <v>68.900000000000006</v>
      </c>
      <c r="G29">
        <v>2993</v>
      </c>
      <c r="H29">
        <v>3000</v>
      </c>
      <c r="I29">
        <v>3083</v>
      </c>
      <c r="J29">
        <v>3100</v>
      </c>
      <c r="K29">
        <v>2800</v>
      </c>
      <c r="L29">
        <v>3400</v>
      </c>
    </row>
    <row r="30" spans="1:12" x14ac:dyDescent="0.55000000000000004">
      <c r="A30">
        <v>2013</v>
      </c>
      <c r="B30" t="s">
        <v>12</v>
      </c>
      <c r="C30" t="s">
        <v>40</v>
      </c>
      <c r="D30" t="s">
        <v>46</v>
      </c>
      <c r="E30" t="s">
        <v>42</v>
      </c>
      <c r="F30" t="s">
        <v>42</v>
      </c>
      <c r="G30" t="s">
        <v>42</v>
      </c>
      <c r="H30" t="s">
        <v>42</v>
      </c>
      <c r="I30" t="s">
        <v>42</v>
      </c>
      <c r="J30" t="s">
        <v>42</v>
      </c>
      <c r="K30" t="s">
        <v>42</v>
      </c>
      <c r="L30" t="s">
        <v>42</v>
      </c>
    </row>
    <row r="31" spans="1:12" x14ac:dyDescent="0.55000000000000004">
      <c r="A31">
        <v>2013</v>
      </c>
      <c r="B31" t="s">
        <v>12</v>
      </c>
      <c r="C31" t="s">
        <v>40</v>
      </c>
      <c r="D31" t="s">
        <v>47</v>
      </c>
      <c r="E31">
        <v>86</v>
      </c>
      <c r="F31">
        <v>83.7</v>
      </c>
      <c r="G31">
        <v>3169</v>
      </c>
      <c r="H31">
        <v>3000</v>
      </c>
      <c r="I31">
        <v>3262</v>
      </c>
      <c r="J31">
        <v>3000</v>
      </c>
      <c r="K31">
        <v>2750</v>
      </c>
      <c r="L31">
        <v>3500</v>
      </c>
    </row>
    <row r="32" spans="1:12" x14ac:dyDescent="0.55000000000000004">
      <c r="A32">
        <v>2013</v>
      </c>
      <c r="B32" t="s">
        <v>12</v>
      </c>
      <c r="C32" t="s">
        <v>40</v>
      </c>
      <c r="D32" t="s">
        <v>48</v>
      </c>
      <c r="E32">
        <v>80.8</v>
      </c>
      <c r="F32">
        <v>69.2</v>
      </c>
      <c r="G32">
        <v>3164</v>
      </c>
      <c r="H32">
        <v>3000</v>
      </c>
      <c r="I32">
        <v>3208</v>
      </c>
      <c r="J32">
        <v>3300</v>
      </c>
      <c r="K32">
        <v>2900</v>
      </c>
      <c r="L32">
        <v>3400</v>
      </c>
    </row>
    <row r="33" spans="1:12" x14ac:dyDescent="0.55000000000000004">
      <c r="A33">
        <v>2013</v>
      </c>
      <c r="B33" t="s">
        <v>12</v>
      </c>
      <c r="C33" t="s">
        <v>40</v>
      </c>
      <c r="D33" t="s">
        <v>49</v>
      </c>
      <c r="E33">
        <v>68.2</v>
      </c>
      <c r="F33">
        <v>59.1</v>
      </c>
      <c r="G33">
        <v>2968</v>
      </c>
      <c r="H33">
        <v>3000</v>
      </c>
      <c r="I33">
        <v>2985</v>
      </c>
      <c r="J33">
        <v>3000</v>
      </c>
      <c r="K33">
        <v>2700</v>
      </c>
      <c r="L33">
        <v>3400</v>
      </c>
    </row>
    <row r="34" spans="1:12" x14ac:dyDescent="0.55000000000000004">
      <c r="A34">
        <v>2013</v>
      </c>
      <c r="B34" t="s">
        <v>12</v>
      </c>
      <c r="C34" t="s">
        <v>50</v>
      </c>
      <c r="D34" t="s">
        <v>51</v>
      </c>
      <c r="E34">
        <v>100</v>
      </c>
      <c r="F34">
        <v>100</v>
      </c>
      <c r="G34">
        <v>3377</v>
      </c>
      <c r="H34">
        <v>3400</v>
      </c>
      <c r="I34">
        <v>3478</v>
      </c>
      <c r="J34">
        <v>3498</v>
      </c>
      <c r="K34">
        <v>3300</v>
      </c>
      <c r="L34">
        <v>3800</v>
      </c>
    </row>
    <row r="35" spans="1:12" x14ac:dyDescent="0.55000000000000004">
      <c r="A35">
        <v>2013</v>
      </c>
      <c r="B35" t="s">
        <v>12</v>
      </c>
      <c r="C35" t="s">
        <v>50</v>
      </c>
      <c r="D35" t="s">
        <v>52</v>
      </c>
      <c r="E35">
        <v>100</v>
      </c>
      <c r="F35">
        <v>100</v>
      </c>
      <c r="G35">
        <v>3413</v>
      </c>
      <c r="H35">
        <v>3426</v>
      </c>
      <c r="I35">
        <v>3506</v>
      </c>
      <c r="J35">
        <v>3498</v>
      </c>
      <c r="K35">
        <v>3400</v>
      </c>
      <c r="L35">
        <v>3575</v>
      </c>
    </row>
    <row r="36" spans="1:12" x14ac:dyDescent="0.55000000000000004">
      <c r="A36">
        <v>2013</v>
      </c>
      <c r="B36" t="s">
        <v>53</v>
      </c>
      <c r="C36" t="s">
        <v>54</v>
      </c>
      <c r="D36" t="s">
        <v>55</v>
      </c>
      <c r="E36">
        <v>84.8</v>
      </c>
      <c r="F36">
        <v>70.099999999999994</v>
      </c>
      <c r="G36">
        <v>2741</v>
      </c>
      <c r="H36">
        <v>2730</v>
      </c>
      <c r="I36">
        <v>2888</v>
      </c>
      <c r="J36">
        <v>2800</v>
      </c>
      <c r="K36">
        <v>2500</v>
      </c>
      <c r="L36">
        <v>3080</v>
      </c>
    </row>
    <row r="37" spans="1:12" x14ac:dyDescent="0.55000000000000004">
      <c r="A37">
        <v>2013</v>
      </c>
      <c r="B37" t="s">
        <v>53</v>
      </c>
      <c r="C37" t="s">
        <v>54</v>
      </c>
      <c r="D37" t="s">
        <v>56</v>
      </c>
      <c r="E37">
        <v>86.6</v>
      </c>
      <c r="F37">
        <v>74.599999999999994</v>
      </c>
      <c r="G37">
        <v>3057</v>
      </c>
      <c r="H37">
        <v>3200</v>
      </c>
      <c r="I37">
        <v>3154</v>
      </c>
      <c r="J37">
        <v>3200</v>
      </c>
      <c r="K37">
        <v>2800</v>
      </c>
      <c r="L37">
        <v>3500</v>
      </c>
    </row>
    <row r="38" spans="1:12" x14ac:dyDescent="0.55000000000000004">
      <c r="A38">
        <v>2013</v>
      </c>
      <c r="B38" t="s">
        <v>53</v>
      </c>
      <c r="C38" t="s">
        <v>54</v>
      </c>
      <c r="D38" t="s">
        <v>57</v>
      </c>
      <c r="E38">
        <v>88.1</v>
      </c>
      <c r="F38">
        <v>76.8</v>
      </c>
      <c r="G38">
        <v>3098</v>
      </c>
      <c r="H38">
        <v>3100</v>
      </c>
      <c r="I38">
        <v>3210</v>
      </c>
      <c r="J38">
        <v>3200</v>
      </c>
      <c r="K38">
        <v>2800</v>
      </c>
      <c r="L38">
        <v>3500</v>
      </c>
    </row>
    <row r="39" spans="1:12" x14ac:dyDescent="0.55000000000000004">
      <c r="A39">
        <v>2013</v>
      </c>
      <c r="B39" t="s">
        <v>53</v>
      </c>
      <c r="C39" t="s">
        <v>58</v>
      </c>
      <c r="D39" t="s">
        <v>59</v>
      </c>
      <c r="E39">
        <v>88.7</v>
      </c>
      <c r="F39">
        <v>81.7</v>
      </c>
      <c r="G39">
        <v>2960</v>
      </c>
      <c r="H39">
        <v>2868</v>
      </c>
      <c r="I39">
        <v>3062</v>
      </c>
      <c r="J39">
        <v>3000</v>
      </c>
      <c r="K39">
        <v>2700</v>
      </c>
      <c r="L39">
        <v>3370</v>
      </c>
    </row>
    <row r="40" spans="1:12" x14ac:dyDescent="0.55000000000000004">
      <c r="A40">
        <v>2013</v>
      </c>
      <c r="B40" t="s">
        <v>53</v>
      </c>
      <c r="C40" t="s">
        <v>58</v>
      </c>
      <c r="D40" t="s">
        <v>60</v>
      </c>
      <c r="E40">
        <v>94.6</v>
      </c>
      <c r="F40">
        <v>90.3</v>
      </c>
      <c r="G40">
        <v>3404</v>
      </c>
      <c r="H40">
        <v>3050</v>
      </c>
      <c r="I40">
        <v>3512</v>
      </c>
      <c r="J40">
        <v>3200</v>
      </c>
      <c r="K40">
        <v>2800</v>
      </c>
      <c r="L40">
        <v>3800</v>
      </c>
    </row>
    <row r="41" spans="1:12" x14ac:dyDescent="0.55000000000000004">
      <c r="A41">
        <v>2013</v>
      </c>
      <c r="B41" t="s">
        <v>53</v>
      </c>
      <c r="C41" t="s">
        <v>58</v>
      </c>
      <c r="D41" t="s">
        <v>61</v>
      </c>
      <c r="E41">
        <v>93.3</v>
      </c>
      <c r="F41">
        <v>88.9</v>
      </c>
      <c r="G41">
        <v>2740</v>
      </c>
      <c r="H41">
        <v>2700</v>
      </c>
      <c r="I41">
        <v>2922</v>
      </c>
      <c r="J41">
        <v>2700</v>
      </c>
      <c r="K41">
        <v>2700</v>
      </c>
      <c r="L41">
        <v>3018</v>
      </c>
    </row>
    <row r="42" spans="1:12" x14ac:dyDescent="0.55000000000000004">
      <c r="A42">
        <v>2013</v>
      </c>
      <c r="B42" t="s">
        <v>53</v>
      </c>
      <c r="C42" t="s">
        <v>58</v>
      </c>
      <c r="D42" t="s">
        <v>62</v>
      </c>
      <c r="E42">
        <v>97.2</v>
      </c>
      <c r="F42">
        <v>94.4</v>
      </c>
      <c r="G42">
        <v>3065</v>
      </c>
      <c r="H42">
        <v>2800</v>
      </c>
      <c r="I42">
        <v>3143</v>
      </c>
      <c r="J42">
        <v>2800</v>
      </c>
      <c r="K42">
        <v>2700</v>
      </c>
      <c r="L42">
        <v>3200</v>
      </c>
    </row>
    <row r="43" spans="1:12" x14ac:dyDescent="0.55000000000000004">
      <c r="A43">
        <v>2013</v>
      </c>
      <c r="B43" t="s">
        <v>53</v>
      </c>
      <c r="C43" t="s">
        <v>63</v>
      </c>
      <c r="D43" t="s">
        <v>64</v>
      </c>
      <c r="E43">
        <v>88.9</v>
      </c>
      <c r="F43">
        <v>77.8</v>
      </c>
      <c r="G43">
        <v>3350</v>
      </c>
      <c r="H43">
        <v>3000</v>
      </c>
      <c r="I43">
        <v>3377</v>
      </c>
      <c r="J43">
        <v>3050</v>
      </c>
      <c r="K43">
        <v>2825</v>
      </c>
      <c r="L43">
        <v>3425</v>
      </c>
    </row>
    <row r="44" spans="1:12" x14ac:dyDescent="0.55000000000000004">
      <c r="A44">
        <v>2013</v>
      </c>
      <c r="B44" t="s">
        <v>53</v>
      </c>
      <c r="C44" t="s">
        <v>63</v>
      </c>
      <c r="D44" t="s">
        <v>65</v>
      </c>
      <c r="E44" t="s">
        <v>42</v>
      </c>
      <c r="F44" t="s">
        <v>42</v>
      </c>
      <c r="G44" t="s">
        <v>42</v>
      </c>
      <c r="H44" t="s">
        <v>42</v>
      </c>
      <c r="I44" t="s">
        <v>42</v>
      </c>
      <c r="J44" t="s">
        <v>42</v>
      </c>
      <c r="K44" t="s">
        <v>42</v>
      </c>
      <c r="L44" t="s">
        <v>42</v>
      </c>
    </row>
    <row r="45" spans="1:12" x14ac:dyDescent="0.55000000000000004">
      <c r="A45">
        <v>2013</v>
      </c>
      <c r="B45" t="s">
        <v>53</v>
      </c>
      <c r="C45" t="s">
        <v>63</v>
      </c>
      <c r="D45" t="s">
        <v>66</v>
      </c>
      <c r="E45" t="s">
        <v>42</v>
      </c>
      <c r="F45" t="s">
        <v>42</v>
      </c>
      <c r="G45" t="s">
        <v>42</v>
      </c>
      <c r="H45" t="s">
        <v>42</v>
      </c>
      <c r="I45" t="s">
        <v>42</v>
      </c>
      <c r="J45" t="s">
        <v>42</v>
      </c>
      <c r="K45" t="s">
        <v>42</v>
      </c>
      <c r="L45" t="s">
        <v>42</v>
      </c>
    </row>
    <row r="46" spans="1:12" x14ac:dyDescent="0.55000000000000004">
      <c r="A46">
        <v>2013</v>
      </c>
      <c r="B46" t="s">
        <v>53</v>
      </c>
      <c r="C46" t="s">
        <v>63</v>
      </c>
      <c r="D46" t="s">
        <v>67</v>
      </c>
      <c r="E46">
        <v>92.4</v>
      </c>
      <c r="F46">
        <v>83.3</v>
      </c>
      <c r="G46">
        <v>3933</v>
      </c>
      <c r="H46">
        <v>3400</v>
      </c>
      <c r="I46">
        <v>3953</v>
      </c>
      <c r="J46">
        <v>3425</v>
      </c>
      <c r="K46">
        <v>3000</v>
      </c>
      <c r="L46">
        <v>4000</v>
      </c>
    </row>
    <row r="47" spans="1:12" x14ac:dyDescent="0.55000000000000004">
      <c r="A47">
        <v>2013</v>
      </c>
      <c r="B47" t="s">
        <v>53</v>
      </c>
      <c r="C47" t="s">
        <v>63</v>
      </c>
      <c r="D47" t="s">
        <v>68</v>
      </c>
      <c r="E47">
        <v>88.9</v>
      </c>
      <c r="F47">
        <v>83.3</v>
      </c>
      <c r="G47">
        <v>3277</v>
      </c>
      <c r="H47">
        <v>3050</v>
      </c>
      <c r="I47">
        <v>3320</v>
      </c>
      <c r="J47">
        <v>3080</v>
      </c>
      <c r="K47">
        <v>2800</v>
      </c>
      <c r="L47">
        <v>3553</v>
      </c>
    </row>
    <row r="48" spans="1:12" x14ac:dyDescent="0.55000000000000004">
      <c r="A48">
        <v>2013</v>
      </c>
      <c r="B48" t="s">
        <v>53</v>
      </c>
      <c r="C48" t="s">
        <v>63</v>
      </c>
      <c r="D48" t="s">
        <v>69</v>
      </c>
      <c r="E48">
        <v>89.2</v>
      </c>
      <c r="F48">
        <v>83.9</v>
      </c>
      <c r="G48">
        <v>3266</v>
      </c>
      <c r="H48">
        <v>3000</v>
      </c>
      <c r="I48">
        <v>3322</v>
      </c>
      <c r="J48">
        <v>3005</v>
      </c>
      <c r="K48">
        <v>3000</v>
      </c>
      <c r="L48">
        <v>3800</v>
      </c>
    </row>
    <row r="49" spans="1:12" x14ac:dyDescent="0.55000000000000004">
      <c r="A49">
        <v>2013</v>
      </c>
      <c r="B49" t="s">
        <v>53</v>
      </c>
      <c r="C49" t="s">
        <v>70</v>
      </c>
      <c r="D49" t="s">
        <v>71</v>
      </c>
      <c r="E49">
        <v>100</v>
      </c>
      <c r="F49">
        <v>100</v>
      </c>
      <c r="G49">
        <v>4106</v>
      </c>
      <c r="H49">
        <v>4000</v>
      </c>
      <c r="I49">
        <v>4106</v>
      </c>
      <c r="J49">
        <v>4000</v>
      </c>
      <c r="K49">
        <v>4000</v>
      </c>
      <c r="L49">
        <v>4400</v>
      </c>
    </row>
    <row r="50" spans="1:12" x14ac:dyDescent="0.55000000000000004">
      <c r="A50">
        <v>2013</v>
      </c>
      <c r="B50" t="s">
        <v>53</v>
      </c>
      <c r="C50" t="s">
        <v>72</v>
      </c>
      <c r="D50" t="s">
        <v>73</v>
      </c>
      <c r="E50" t="s">
        <v>42</v>
      </c>
      <c r="F50" t="s">
        <v>42</v>
      </c>
      <c r="G50" t="s">
        <v>42</v>
      </c>
      <c r="H50" t="s">
        <v>42</v>
      </c>
      <c r="I50" t="s">
        <v>42</v>
      </c>
      <c r="J50" t="s">
        <v>42</v>
      </c>
      <c r="K50" t="s">
        <v>42</v>
      </c>
      <c r="L50" t="s">
        <v>42</v>
      </c>
    </row>
    <row r="51" spans="1:12" x14ac:dyDescent="0.55000000000000004">
      <c r="A51">
        <v>2013</v>
      </c>
      <c r="B51" t="s">
        <v>53</v>
      </c>
      <c r="C51" t="s">
        <v>72</v>
      </c>
      <c r="D51" t="s">
        <v>74</v>
      </c>
      <c r="E51">
        <v>82.1</v>
      </c>
      <c r="F51">
        <v>53.6</v>
      </c>
      <c r="G51">
        <v>3007</v>
      </c>
      <c r="H51">
        <v>2650</v>
      </c>
      <c r="I51">
        <v>3023</v>
      </c>
      <c r="J51">
        <v>2650</v>
      </c>
      <c r="K51">
        <v>2400</v>
      </c>
      <c r="L51">
        <v>3000</v>
      </c>
    </row>
    <row r="52" spans="1:12" x14ac:dyDescent="0.55000000000000004">
      <c r="A52">
        <v>2013</v>
      </c>
      <c r="B52" t="s">
        <v>53</v>
      </c>
      <c r="C52" t="s">
        <v>72</v>
      </c>
      <c r="D52" t="s">
        <v>75</v>
      </c>
      <c r="E52">
        <v>96.8</v>
      </c>
      <c r="F52">
        <v>96.8</v>
      </c>
      <c r="G52">
        <v>2961</v>
      </c>
      <c r="H52">
        <v>2980</v>
      </c>
      <c r="I52">
        <v>3025</v>
      </c>
      <c r="J52">
        <v>3000</v>
      </c>
      <c r="K52">
        <v>2800</v>
      </c>
      <c r="L52">
        <v>3200</v>
      </c>
    </row>
    <row r="53" spans="1:12" x14ac:dyDescent="0.55000000000000004">
      <c r="A53">
        <v>2013</v>
      </c>
      <c r="B53" t="s">
        <v>53</v>
      </c>
      <c r="C53" t="s">
        <v>72</v>
      </c>
      <c r="D53" t="s">
        <v>76</v>
      </c>
      <c r="E53">
        <v>89.2</v>
      </c>
      <c r="F53">
        <v>89.2</v>
      </c>
      <c r="G53">
        <v>2839</v>
      </c>
      <c r="H53">
        <v>2800</v>
      </c>
      <c r="I53">
        <v>2988</v>
      </c>
      <c r="J53">
        <v>2900</v>
      </c>
      <c r="K53">
        <v>2600</v>
      </c>
      <c r="L53">
        <v>3179</v>
      </c>
    </row>
    <row r="54" spans="1:12" x14ac:dyDescent="0.55000000000000004">
      <c r="A54">
        <v>2013</v>
      </c>
      <c r="B54" t="s">
        <v>53</v>
      </c>
      <c r="C54" t="s">
        <v>77</v>
      </c>
      <c r="D54" t="s">
        <v>78</v>
      </c>
      <c r="E54">
        <v>74</v>
      </c>
      <c r="F54">
        <v>60</v>
      </c>
      <c r="G54">
        <v>2823</v>
      </c>
      <c r="H54">
        <v>3000</v>
      </c>
      <c r="I54">
        <v>3068</v>
      </c>
      <c r="J54">
        <v>3000</v>
      </c>
      <c r="K54">
        <v>2720</v>
      </c>
      <c r="L54">
        <v>3250</v>
      </c>
    </row>
    <row r="55" spans="1:12" x14ac:dyDescent="0.55000000000000004">
      <c r="A55">
        <v>2013</v>
      </c>
      <c r="B55" t="s">
        <v>53</v>
      </c>
      <c r="C55" t="s">
        <v>77</v>
      </c>
      <c r="D55" t="s">
        <v>79</v>
      </c>
      <c r="E55">
        <v>93.2</v>
      </c>
      <c r="F55">
        <v>90</v>
      </c>
      <c r="G55">
        <v>3245</v>
      </c>
      <c r="H55">
        <v>3000</v>
      </c>
      <c r="I55">
        <v>3359</v>
      </c>
      <c r="J55">
        <v>3175</v>
      </c>
      <c r="K55">
        <v>3000</v>
      </c>
      <c r="L55">
        <v>3644</v>
      </c>
    </row>
    <row r="56" spans="1:12" x14ac:dyDescent="0.55000000000000004">
      <c r="A56">
        <v>2013</v>
      </c>
      <c r="B56" t="s">
        <v>53</v>
      </c>
      <c r="C56" t="s">
        <v>77</v>
      </c>
      <c r="D56" t="s">
        <v>80</v>
      </c>
      <c r="E56">
        <v>96.1</v>
      </c>
      <c r="F56">
        <v>94.1</v>
      </c>
      <c r="G56">
        <v>3140</v>
      </c>
      <c r="H56">
        <v>3000</v>
      </c>
      <c r="I56">
        <v>3154</v>
      </c>
      <c r="J56">
        <v>3050</v>
      </c>
      <c r="K56">
        <v>3000</v>
      </c>
      <c r="L56">
        <v>3300</v>
      </c>
    </row>
    <row r="57" spans="1:12" x14ac:dyDescent="0.55000000000000004">
      <c r="A57">
        <v>2013</v>
      </c>
      <c r="B57" t="s">
        <v>53</v>
      </c>
      <c r="C57" t="s">
        <v>77</v>
      </c>
      <c r="D57" t="s">
        <v>81</v>
      </c>
      <c r="E57">
        <v>88.9</v>
      </c>
      <c r="F57">
        <v>85.6</v>
      </c>
      <c r="G57">
        <v>3592</v>
      </c>
      <c r="H57">
        <v>3200</v>
      </c>
      <c r="I57">
        <v>3653</v>
      </c>
      <c r="J57">
        <v>3200</v>
      </c>
      <c r="K57">
        <v>3000</v>
      </c>
      <c r="L57">
        <v>3970</v>
      </c>
    </row>
    <row r="58" spans="1:12" x14ac:dyDescent="0.55000000000000004">
      <c r="A58">
        <v>2013</v>
      </c>
      <c r="B58" t="s">
        <v>53</v>
      </c>
      <c r="C58" t="s">
        <v>77</v>
      </c>
      <c r="D58" t="s">
        <v>82</v>
      </c>
      <c r="E58">
        <v>88.5</v>
      </c>
      <c r="F58">
        <v>88</v>
      </c>
      <c r="G58">
        <v>3286</v>
      </c>
      <c r="H58">
        <v>3100</v>
      </c>
      <c r="I58">
        <v>3334</v>
      </c>
      <c r="J58">
        <v>3200</v>
      </c>
      <c r="K58">
        <v>3000</v>
      </c>
      <c r="L58">
        <v>3600</v>
      </c>
    </row>
    <row r="59" spans="1:12" x14ac:dyDescent="0.55000000000000004">
      <c r="A59">
        <v>2013</v>
      </c>
      <c r="B59" t="s">
        <v>53</v>
      </c>
      <c r="C59" t="s">
        <v>77</v>
      </c>
      <c r="D59" t="s">
        <v>83</v>
      </c>
      <c r="E59">
        <v>86.2</v>
      </c>
      <c r="F59">
        <v>75.900000000000006</v>
      </c>
      <c r="G59">
        <v>2940</v>
      </c>
      <c r="H59">
        <v>3000</v>
      </c>
      <c r="I59">
        <v>2960</v>
      </c>
      <c r="J59">
        <v>3000</v>
      </c>
      <c r="K59">
        <v>2800</v>
      </c>
      <c r="L59">
        <v>3150</v>
      </c>
    </row>
    <row r="60" spans="1:12" x14ac:dyDescent="0.55000000000000004">
      <c r="A60">
        <v>2013</v>
      </c>
      <c r="B60" t="s">
        <v>53</v>
      </c>
      <c r="C60" t="s">
        <v>77</v>
      </c>
      <c r="D60" t="s">
        <v>84</v>
      </c>
      <c r="E60">
        <v>93.8</v>
      </c>
      <c r="F60">
        <v>87.5</v>
      </c>
      <c r="G60">
        <v>3153</v>
      </c>
      <c r="H60">
        <v>3100</v>
      </c>
      <c r="I60">
        <v>3208</v>
      </c>
      <c r="J60">
        <v>3110</v>
      </c>
      <c r="K60">
        <v>3000</v>
      </c>
      <c r="L60">
        <v>3500</v>
      </c>
    </row>
    <row r="61" spans="1:12" x14ac:dyDescent="0.55000000000000004">
      <c r="A61">
        <v>2013</v>
      </c>
      <c r="B61" t="s">
        <v>53</v>
      </c>
      <c r="C61" t="s">
        <v>77</v>
      </c>
      <c r="D61" t="s">
        <v>85</v>
      </c>
      <c r="E61">
        <v>93.9</v>
      </c>
      <c r="F61">
        <v>92.4</v>
      </c>
      <c r="G61">
        <v>3330</v>
      </c>
      <c r="H61">
        <v>3200</v>
      </c>
      <c r="I61">
        <v>3397</v>
      </c>
      <c r="J61">
        <v>3200</v>
      </c>
      <c r="K61">
        <v>3000</v>
      </c>
      <c r="L61">
        <v>3800</v>
      </c>
    </row>
    <row r="62" spans="1:12" x14ac:dyDescent="0.55000000000000004">
      <c r="A62">
        <v>2013</v>
      </c>
      <c r="B62" t="s">
        <v>53</v>
      </c>
      <c r="C62" t="s">
        <v>77</v>
      </c>
      <c r="D62" t="s">
        <v>86</v>
      </c>
      <c r="E62">
        <v>90.9</v>
      </c>
      <c r="F62">
        <v>87.9</v>
      </c>
      <c r="G62">
        <v>3036</v>
      </c>
      <c r="H62">
        <v>3000</v>
      </c>
      <c r="I62">
        <v>3169</v>
      </c>
      <c r="J62">
        <v>3000</v>
      </c>
      <c r="K62">
        <v>3000</v>
      </c>
      <c r="L62">
        <v>3260</v>
      </c>
    </row>
    <row r="63" spans="1:12" x14ac:dyDescent="0.55000000000000004">
      <c r="A63">
        <v>2013</v>
      </c>
      <c r="B63" t="s">
        <v>53</v>
      </c>
      <c r="C63" t="s">
        <v>77</v>
      </c>
      <c r="D63" t="s">
        <v>87</v>
      </c>
      <c r="E63">
        <v>89.1</v>
      </c>
      <c r="F63">
        <v>87.2</v>
      </c>
      <c r="G63">
        <v>3155</v>
      </c>
      <c r="H63">
        <v>3000</v>
      </c>
      <c r="I63">
        <v>3319</v>
      </c>
      <c r="J63">
        <v>3225</v>
      </c>
      <c r="K63">
        <v>3000</v>
      </c>
      <c r="L63">
        <v>3500</v>
      </c>
    </row>
    <row r="64" spans="1:12" x14ac:dyDescent="0.55000000000000004">
      <c r="A64">
        <v>2013</v>
      </c>
      <c r="B64" t="s">
        <v>53</v>
      </c>
      <c r="C64" t="s">
        <v>88</v>
      </c>
      <c r="D64" t="s">
        <v>89</v>
      </c>
      <c r="E64">
        <v>98.8</v>
      </c>
      <c r="F64">
        <v>98.2</v>
      </c>
      <c r="G64">
        <v>4922</v>
      </c>
      <c r="H64">
        <v>4800</v>
      </c>
      <c r="I64">
        <v>5099</v>
      </c>
      <c r="J64">
        <v>5000</v>
      </c>
      <c r="K64">
        <v>4500</v>
      </c>
      <c r="L64">
        <v>5800</v>
      </c>
    </row>
    <row r="65" spans="1:12" x14ac:dyDescent="0.55000000000000004">
      <c r="A65">
        <v>2013</v>
      </c>
      <c r="B65" t="s">
        <v>53</v>
      </c>
      <c r="C65" t="s">
        <v>90</v>
      </c>
      <c r="D65" t="s">
        <v>91</v>
      </c>
      <c r="E65">
        <v>100</v>
      </c>
      <c r="F65">
        <v>100</v>
      </c>
      <c r="G65">
        <v>4406</v>
      </c>
      <c r="H65">
        <v>4500</v>
      </c>
      <c r="I65">
        <v>4741</v>
      </c>
      <c r="J65">
        <v>4500</v>
      </c>
      <c r="K65">
        <v>4500</v>
      </c>
      <c r="L65">
        <v>5200</v>
      </c>
    </row>
    <row r="66" spans="1:12" x14ac:dyDescent="0.55000000000000004">
      <c r="A66">
        <v>2013</v>
      </c>
      <c r="B66" t="s">
        <v>53</v>
      </c>
      <c r="C66" t="s">
        <v>90</v>
      </c>
      <c r="D66" t="s">
        <v>92</v>
      </c>
      <c r="E66">
        <v>97.5</v>
      </c>
      <c r="F66">
        <v>97.5</v>
      </c>
      <c r="G66">
        <v>2687</v>
      </c>
      <c r="H66">
        <v>2750</v>
      </c>
      <c r="I66">
        <v>2886</v>
      </c>
      <c r="J66">
        <v>2950</v>
      </c>
      <c r="K66">
        <v>2700</v>
      </c>
      <c r="L66">
        <v>3050</v>
      </c>
    </row>
    <row r="67" spans="1:12" x14ac:dyDescent="0.55000000000000004">
      <c r="A67">
        <v>2013</v>
      </c>
      <c r="B67" t="s">
        <v>53</v>
      </c>
      <c r="C67" t="s">
        <v>90</v>
      </c>
      <c r="D67" t="s">
        <v>93</v>
      </c>
      <c r="E67">
        <v>100</v>
      </c>
      <c r="F67">
        <v>100</v>
      </c>
      <c r="G67">
        <v>2896</v>
      </c>
      <c r="H67">
        <v>3000</v>
      </c>
      <c r="I67">
        <v>3042</v>
      </c>
      <c r="J67">
        <v>3025</v>
      </c>
      <c r="K67">
        <v>3000</v>
      </c>
      <c r="L67">
        <v>3200</v>
      </c>
    </row>
    <row r="68" spans="1:12" x14ac:dyDescent="0.55000000000000004">
      <c r="A68">
        <v>2013</v>
      </c>
      <c r="B68" t="s">
        <v>53</v>
      </c>
      <c r="C68" t="s">
        <v>94</v>
      </c>
      <c r="D68" t="s">
        <v>95</v>
      </c>
      <c r="E68" t="s">
        <v>42</v>
      </c>
      <c r="F68" t="s">
        <v>42</v>
      </c>
      <c r="G68" t="s">
        <v>42</v>
      </c>
      <c r="H68" t="s">
        <v>42</v>
      </c>
      <c r="I68" t="s">
        <v>42</v>
      </c>
      <c r="J68" t="s">
        <v>42</v>
      </c>
      <c r="K68" t="s">
        <v>42</v>
      </c>
      <c r="L68" t="s">
        <v>42</v>
      </c>
    </row>
    <row r="69" spans="1:12" x14ac:dyDescent="0.55000000000000004">
      <c r="A69">
        <v>2013</v>
      </c>
      <c r="B69" t="s">
        <v>53</v>
      </c>
      <c r="C69" t="s">
        <v>96</v>
      </c>
      <c r="D69" t="s">
        <v>97</v>
      </c>
      <c r="E69" t="s">
        <v>42</v>
      </c>
      <c r="F69" t="s">
        <v>42</v>
      </c>
      <c r="G69" t="s">
        <v>42</v>
      </c>
      <c r="H69" t="s">
        <v>42</v>
      </c>
      <c r="I69" t="s">
        <v>42</v>
      </c>
      <c r="J69" t="s">
        <v>42</v>
      </c>
      <c r="K69" t="s">
        <v>42</v>
      </c>
      <c r="L69" t="s">
        <v>42</v>
      </c>
    </row>
    <row r="70" spans="1:12" x14ac:dyDescent="0.55000000000000004">
      <c r="A70">
        <v>2013</v>
      </c>
      <c r="B70" t="s">
        <v>53</v>
      </c>
      <c r="C70" t="s">
        <v>96</v>
      </c>
      <c r="D70" t="s">
        <v>98</v>
      </c>
      <c r="E70">
        <v>97.3</v>
      </c>
      <c r="F70">
        <v>97.3</v>
      </c>
      <c r="G70">
        <v>2850</v>
      </c>
      <c r="H70">
        <v>2750</v>
      </c>
      <c r="I70">
        <v>2925</v>
      </c>
      <c r="J70">
        <v>2900</v>
      </c>
      <c r="K70">
        <v>2600</v>
      </c>
      <c r="L70">
        <v>3255</v>
      </c>
    </row>
    <row r="71" spans="1:12" x14ac:dyDescent="0.55000000000000004">
      <c r="A71">
        <v>2013</v>
      </c>
      <c r="B71" t="s">
        <v>53</v>
      </c>
      <c r="C71" t="s">
        <v>96</v>
      </c>
      <c r="D71" t="s">
        <v>99</v>
      </c>
      <c r="E71">
        <v>80.900000000000006</v>
      </c>
      <c r="F71">
        <v>65.099999999999994</v>
      </c>
      <c r="G71">
        <v>2726</v>
      </c>
      <c r="H71">
        <v>2700</v>
      </c>
      <c r="I71">
        <v>2804</v>
      </c>
      <c r="J71">
        <v>2800</v>
      </c>
      <c r="K71">
        <v>2600</v>
      </c>
      <c r="L71">
        <v>3000</v>
      </c>
    </row>
    <row r="72" spans="1:12" x14ac:dyDescent="0.55000000000000004">
      <c r="A72">
        <v>2013</v>
      </c>
      <c r="B72" t="s">
        <v>53</v>
      </c>
      <c r="C72" t="s">
        <v>96</v>
      </c>
      <c r="D72" t="s">
        <v>100</v>
      </c>
      <c r="E72">
        <v>83.6</v>
      </c>
      <c r="F72">
        <v>74</v>
      </c>
      <c r="G72">
        <v>3101</v>
      </c>
      <c r="H72">
        <v>3000</v>
      </c>
      <c r="I72">
        <v>3217</v>
      </c>
      <c r="J72">
        <v>3100</v>
      </c>
      <c r="K72">
        <v>2868</v>
      </c>
      <c r="L72">
        <v>3500</v>
      </c>
    </row>
    <row r="73" spans="1:12" x14ac:dyDescent="0.55000000000000004">
      <c r="A73">
        <v>2013</v>
      </c>
      <c r="B73" t="s">
        <v>53</v>
      </c>
      <c r="C73" t="s">
        <v>96</v>
      </c>
      <c r="D73" t="s">
        <v>101</v>
      </c>
      <c r="E73" t="s">
        <v>42</v>
      </c>
      <c r="F73" t="s">
        <v>42</v>
      </c>
      <c r="G73" t="s">
        <v>42</v>
      </c>
      <c r="H73" t="s">
        <v>42</v>
      </c>
      <c r="I73" t="s">
        <v>42</v>
      </c>
      <c r="J73" t="s">
        <v>42</v>
      </c>
      <c r="K73" t="s">
        <v>42</v>
      </c>
      <c r="L73" t="s">
        <v>42</v>
      </c>
    </row>
    <row r="74" spans="1:12" x14ac:dyDescent="0.55000000000000004">
      <c r="A74">
        <v>2013</v>
      </c>
      <c r="B74" t="s">
        <v>53</v>
      </c>
      <c r="C74" t="s">
        <v>96</v>
      </c>
      <c r="D74" t="s">
        <v>102</v>
      </c>
      <c r="E74">
        <v>96.4</v>
      </c>
      <c r="F74">
        <v>96.4</v>
      </c>
      <c r="G74">
        <v>3473</v>
      </c>
      <c r="H74">
        <v>3500</v>
      </c>
      <c r="I74">
        <v>3540</v>
      </c>
      <c r="J74">
        <v>3500</v>
      </c>
      <c r="K74">
        <v>3350</v>
      </c>
      <c r="L74">
        <v>3750</v>
      </c>
    </row>
    <row r="75" spans="1:12" x14ac:dyDescent="0.55000000000000004">
      <c r="A75">
        <v>2013</v>
      </c>
      <c r="B75" t="s">
        <v>103</v>
      </c>
      <c r="C75" t="s">
        <v>104</v>
      </c>
      <c r="D75" t="s">
        <v>105</v>
      </c>
      <c r="E75">
        <v>94.2</v>
      </c>
      <c r="F75">
        <v>93.2</v>
      </c>
      <c r="G75">
        <v>3231</v>
      </c>
      <c r="H75">
        <v>2800</v>
      </c>
      <c r="I75">
        <v>3342</v>
      </c>
      <c r="J75">
        <v>2825</v>
      </c>
      <c r="K75">
        <v>2700</v>
      </c>
      <c r="L75">
        <v>3430</v>
      </c>
    </row>
    <row r="76" spans="1:12" x14ac:dyDescent="0.55000000000000004">
      <c r="A76">
        <v>2013</v>
      </c>
      <c r="B76" t="s">
        <v>103</v>
      </c>
      <c r="C76" t="s">
        <v>104</v>
      </c>
      <c r="D76" t="s">
        <v>106</v>
      </c>
      <c r="E76">
        <v>95.2</v>
      </c>
      <c r="F76">
        <v>95.2</v>
      </c>
      <c r="G76">
        <v>3580</v>
      </c>
      <c r="H76">
        <v>2900</v>
      </c>
      <c r="I76">
        <v>3634</v>
      </c>
      <c r="J76">
        <v>3000</v>
      </c>
      <c r="K76">
        <v>2700</v>
      </c>
      <c r="L76">
        <v>3750</v>
      </c>
    </row>
    <row r="77" spans="1:12" x14ac:dyDescent="0.55000000000000004">
      <c r="A77">
        <v>2013</v>
      </c>
      <c r="B77" t="s">
        <v>103</v>
      </c>
      <c r="C77" t="s">
        <v>107</v>
      </c>
      <c r="D77" t="s">
        <v>108</v>
      </c>
      <c r="E77">
        <v>93.2</v>
      </c>
      <c r="F77">
        <v>87.3</v>
      </c>
      <c r="G77">
        <v>3344</v>
      </c>
      <c r="H77">
        <v>3000</v>
      </c>
      <c r="I77">
        <v>3520</v>
      </c>
      <c r="J77">
        <v>3200</v>
      </c>
      <c r="K77">
        <v>2800</v>
      </c>
      <c r="L77">
        <v>3750</v>
      </c>
    </row>
    <row r="78" spans="1:12" x14ac:dyDescent="0.55000000000000004">
      <c r="A78">
        <v>2013</v>
      </c>
      <c r="B78" t="s">
        <v>103</v>
      </c>
      <c r="C78" t="s">
        <v>107</v>
      </c>
      <c r="D78" t="s">
        <v>109</v>
      </c>
      <c r="E78">
        <v>95.9</v>
      </c>
      <c r="F78">
        <v>93.8</v>
      </c>
      <c r="G78">
        <v>3825</v>
      </c>
      <c r="H78">
        <v>3500</v>
      </c>
      <c r="I78">
        <v>3975</v>
      </c>
      <c r="J78">
        <v>3580</v>
      </c>
      <c r="K78">
        <v>3000</v>
      </c>
      <c r="L78">
        <v>4100</v>
      </c>
    </row>
    <row r="79" spans="1:12" x14ac:dyDescent="0.55000000000000004">
      <c r="A79">
        <v>2013</v>
      </c>
      <c r="B79" t="s">
        <v>103</v>
      </c>
      <c r="C79" t="s">
        <v>110</v>
      </c>
      <c r="D79" t="s">
        <v>111</v>
      </c>
      <c r="E79">
        <v>90.6</v>
      </c>
      <c r="F79">
        <v>88.6</v>
      </c>
      <c r="G79">
        <v>3389</v>
      </c>
      <c r="H79">
        <v>3200</v>
      </c>
      <c r="I79">
        <v>3513</v>
      </c>
      <c r="J79">
        <v>3339</v>
      </c>
      <c r="K79">
        <v>3000</v>
      </c>
      <c r="L79">
        <v>3800</v>
      </c>
    </row>
    <row r="80" spans="1:12" x14ac:dyDescent="0.55000000000000004">
      <c r="A80">
        <v>2013</v>
      </c>
      <c r="B80" t="s">
        <v>103</v>
      </c>
      <c r="C80" t="s">
        <v>110</v>
      </c>
      <c r="D80" t="s">
        <v>112</v>
      </c>
      <c r="E80">
        <v>94</v>
      </c>
      <c r="F80">
        <v>94</v>
      </c>
      <c r="G80">
        <v>3731</v>
      </c>
      <c r="H80">
        <v>3500</v>
      </c>
      <c r="I80">
        <v>3820</v>
      </c>
      <c r="J80">
        <v>3600</v>
      </c>
      <c r="K80">
        <v>3250</v>
      </c>
      <c r="L80">
        <v>4000</v>
      </c>
    </row>
    <row r="81" spans="1:12" x14ac:dyDescent="0.55000000000000004">
      <c r="A81">
        <v>2013</v>
      </c>
      <c r="B81" t="s">
        <v>103</v>
      </c>
      <c r="C81" t="s">
        <v>113</v>
      </c>
      <c r="D81" t="s">
        <v>114</v>
      </c>
      <c r="E81">
        <v>93.6</v>
      </c>
      <c r="F81">
        <v>89.5</v>
      </c>
      <c r="G81">
        <v>3389</v>
      </c>
      <c r="H81">
        <v>3300</v>
      </c>
      <c r="I81">
        <v>3468</v>
      </c>
      <c r="J81">
        <v>3300</v>
      </c>
      <c r="K81">
        <v>3000</v>
      </c>
      <c r="L81">
        <v>3800</v>
      </c>
    </row>
    <row r="82" spans="1:12" x14ac:dyDescent="0.55000000000000004">
      <c r="A82">
        <v>2013</v>
      </c>
      <c r="B82" t="s">
        <v>103</v>
      </c>
      <c r="C82" t="s">
        <v>113</v>
      </c>
      <c r="D82" t="s">
        <v>115</v>
      </c>
      <c r="E82">
        <v>100</v>
      </c>
      <c r="F82">
        <v>90.9</v>
      </c>
      <c r="G82">
        <v>3786</v>
      </c>
      <c r="H82">
        <v>3725</v>
      </c>
      <c r="I82">
        <v>3862</v>
      </c>
      <c r="J82">
        <v>3800</v>
      </c>
      <c r="K82">
        <v>3500</v>
      </c>
      <c r="L82">
        <v>4000</v>
      </c>
    </row>
    <row r="83" spans="1:12" x14ac:dyDescent="0.55000000000000004">
      <c r="A83">
        <v>2013</v>
      </c>
      <c r="B83" t="s">
        <v>103</v>
      </c>
      <c r="C83" t="s">
        <v>116</v>
      </c>
      <c r="D83" t="s">
        <v>117</v>
      </c>
      <c r="E83">
        <v>86.5</v>
      </c>
      <c r="F83">
        <v>79.8</v>
      </c>
      <c r="G83">
        <v>3122</v>
      </c>
      <c r="H83">
        <v>3000</v>
      </c>
      <c r="I83">
        <v>3150</v>
      </c>
      <c r="J83">
        <v>3000</v>
      </c>
      <c r="K83">
        <v>2600</v>
      </c>
      <c r="L83">
        <v>3320</v>
      </c>
    </row>
    <row r="84" spans="1:12" x14ac:dyDescent="0.55000000000000004">
      <c r="A84">
        <v>2013</v>
      </c>
      <c r="B84" t="s">
        <v>103</v>
      </c>
      <c r="C84" t="s">
        <v>116</v>
      </c>
      <c r="D84" t="s">
        <v>118</v>
      </c>
      <c r="E84">
        <v>87.5</v>
      </c>
      <c r="F84">
        <v>83.3</v>
      </c>
      <c r="G84">
        <v>3251</v>
      </c>
      <c r="H84">
        <v>3200</v>
      </c>
      <c r="I84">
        <v>3267</v>
      </c>
      <c r="J84">
        <v>3200</v>
      </c>
      <c r="K84">
        <v>2800</v>
      </c>
      <c r="L84">
        <v>3781</v>
      </c>
    </row>
    <row r="85" spans="1:12" x14ac:dyDescent="0.55000000000000004">
      <c r="A85">
        <v>2013</v>
      </c>
      <c r="B85" t="s">
        <v>103</v>
      </c>
      <c r="C85" t="s">
        <v>119</v>
      </c>
      <c r="D85" t="s">
        <v>120</v>
      </c>
      <c r="E85">
        <v>100</v>
      </c>
      <c r="F85">
        <v>100</v>
      </c>
      <c r="G85">
        <v>5023</v>
      </c>
      <c r="H85">
        <v>4800</v>
      </c>
      <c r="I85">
        <v>5246</v>
      </c>
      <c r="J85">
        <v>5000</v>
      </c>
      <c r="K85">
        <v>4500</v>
      </c>
      <c r="L85">
        <v>6000</v>
      </c>
    </row>
    <row r="86" spans="1:12" x14ac:dyDescent="0.55000000000000004">
      <c r="A86">
        <v>2013</v>
      </c>
      <c r="B86" t="s">
        <v>103</v>
      </c>
      <c r="C86" t="s">
        <v>119</v>
      </c>
      <c r="D86" t="s">
        <v>121</v>
      </c>
      <c r="E86">
        <v>100</v>
      </c>
      <c r="F86">
        <v>100</v>
      </c>
      <c r="G86">
        <v>5329</v>
      </c>
      <c r="H86">
        <v>5000</v>
      </c>
      <c r="I86">
        <v>5617</v>
      </c>
      <c r="J86">
        <v>5547</v>
      </c>
      <c r="K86">
        <v>4750</v>
      </c>
      <c r="L86">
        <v>6400</v>
      </c>
    </row>
    <row r="87" spans="1:12" x14ac:dyDescent="0.55000000000000004">
      <c r="A87">
        <v>2014</v>
      </c>
      <c r="B87" t="s">
        <v>12</v>
      </c>
      <c r="C87" t="s">
        <v>13</v>
      </c>
      <c r="D87" t="s">
        <v>14</v>
      </c>
      <c r="E87">
        <v>98.2</v>
      </c>
      <c r="F87">
        <v>95.6</v>
      </c>
      <c r="G87">
        <v>3539</v>
      </c>
      <c r="H87">
        <v>3300</v>
      </c>
      <c r="I87">
        <v>3597</v>
      </c>
      <c r="J87">
        <v>3300</v>
      </c>
      <c r="K87">
        <v>2900</v>
      </c>
      <c r="L87">
        <v>4000</v>
      </c>
    </row>
    <row r="88" spans="1:12" x14ac:dyDescent="0.55000000000000004">
      <c r="A88">
        <v>2014</v>
      </c>
      <c r="B88" t="s">
        <v>12</v>
      </c>
      <c r="C88" t="s">
        <v>13</v>
      </c>
      <c r="D88" t="s">
        <v>15</v>
      </c>
      <c r="E88">
        <v>96.6</v>
      </c>
      <c r="F88">
        <v>96.1</v>
      </c>
      <c r="G88">
        <v>2981</v>
      </c>
      <c r="H88">
        <v>2800</v>
      </c>
      <c r="I88">
        <v>3003</v>
      </c>
      <c r="J88">
        <v>2840</v>
      </c>
      <c r="K88">
        <v>2700</v>
      </c>
      <c r="L88">
        <v>3000</v>
      </c>
    </row>
    <row r="89" spans="1:12" x14ac:dyDescent="0.55000000000000004">
      <c r="A89">
        <v>2014</v>
      </c>
      <c r="B89" t="s">
        <v>12</v>
      </c>
      <c r="C89" t="s">
        <v>13</v>
      </c>
      <c r="D89" t="s">
        <v>16</v>
      </c>
      <c r="E89">
        <v>89.6</v>
      </c>
      <c r="F89">
        <v>80.2</v>
      </c>
      <c r="G89">
        <v>3231</v>
      </c>
      <c r="H89">
        <v>3000</v>
      </c>
      <c r="I89">
        <v>3318</v>
      </c>
      <c r="J89">
        <v>3100</v>
      </c>
      <c r="K89">
        <v>2800</v>
      </c>
      <c r="L89">
        <v>3600</v>
      </c>
    </row>
    <row r="90" spans="1:12" x14ac:dyDescent="0.55000000000000004">
      <c r="A90">
        <v>2014</v>
      </c>
      <c r="B90" t="s">
        <v>12</v>
      </c>
      <c r="C90" t="s">
        <v>13</v>
      </c>
      <c r="D90" t="s">
        <v>17</v>
      </c>
      <c r="E90">
        <v>92.9</v>
      </c>
      <c r="F90">
        <v>89.3</v>
      </c>
      <c r="G90">
        <v>3398</v>
      </c>
      <c r="H90">
        <v>3400</v>
      </c>
      <c r="I90">
        <v>3431</v>
      </c>
      <c r="J90">
        <v>3450</v>
      </c>
      <c r="K90">
        <v>3232</v>
      </c>
      <c r="L90">
        <v>4000</v>
      </c>
    </row>
    <row r="91" spans="1:12" x14ac:dyDescent="0.55000000000000004">
      <c r="A91">
        <v>2014</v>
      </c>
      <c r="B91" t="s">
        <v>12</v>
      </c>
      <c r="C91" t="s">
        <v>18</v>
      </c>
      <c r="D91" t="s">
        <v>19</v>
      </c>
      <c r="E91">
        <v>84.6</v>
      </c>
      <c r="F91">
        <v>82.7</v>
      </c>
      <c r="G91">
        <v>3715</v>
      </c>
      <c r="H91">
        <v>3700</v>
      </c>
      <c r="I91">
        <v>3911</v>
      </c>
      <c r="J91">
        <v>3770</v>
      </c>
      <c r="K91">
        <v>3300</v>
      </c>
      <c r="L91">
        <v>4070</v>
      </c>
    </row>
    <row r="92" spans="1:12" x14ac:dyDescent="0.55000000000000004">
      <c r="A92">
        <v>2014</v>
      </c>
      <c r="B92" t="s">
        <v>12</v>
      </c>
      <c r="C92" t="s">
        <v>18</v>
      </c>
      <c r="D92" t="s">
        <v>20</v>
      </c>
      <c r="E92">
        <v>79.8</v>
      </c>
      <c r="F92">
        <v>69.7</v>
      </c>
      <c r="G92">
        <v>2998</v>
      </c>
      <c r="H92">
        <v>3000</v>
      </c>
      <c r="I92">
        <v>3188</v>
      </c>
      <c r="J92">
        <v>3000</v>
      </c>
      <c r="K92">
        <v>2825</v>
      </c>
      <c r="L92">
        <v>3400</v>
      </c>
    </row>
    <row r="93" spans="1:12" x14ac:dyDescent="0.55000000000000004">
      <c r="A93">
        <v>2014</v>
      </c>
      <c r="B93" t="s">
        <v>12</v>
      </c>
      <c r="C93" t="s">
        <v>18</v>
      </c>
      <c r="D93" t="s">
        <v>21</v>
      </c>
      <c r="E93">
        <v>83.8</v>
      </c>
      <c r="F93">
        <v>76.099999999999994</v>
      </c>
      <c r="G93">
        <v>3296</v>
      </c>
      <c r="H93">
        <v>3250</v>
      </c>
      <c r="I93">
        <v>3415</v>
      </c>
      <c r="J93">
        <v>3400</v>
      </c>
      <c r="K93">
        <v>3200</v>
      </c>
      <c r="L93">
        <v>3575</v>
      </c>
    </row>
    <row r="94" spans="1:12" x14ac:dyDescent="0.55000000000000004">
      <c r="A94">
        <v>2014</v>
      </c>
      <c r="B94" t="s">
        <v>12</v>
      </c>
      <c r="C94" t="s">
        <v>18</v>
      </c>
      <c r="D94" t="s">
        <v>22</v>
      </c>
      <c r="E94">
        <v>91.4</v>
      </c>
      <c r="F94">
        <v>88.8</v>
      </c>
      <c r="G94">
        <v>3423</v>
      </c>
      <c r="H94">
        <v>3300</v>
      </c>
      <c r="I94">
        <v>3512</v>
      </c>
      <c r="J94">
        <v>3400</v>
      </c>
      <c r="K94">
        <v>3200</v>
      </c>
      <c r="L94">
        <v>3800</v>
      </c>
    </row>
    <row r="95" spans="1:12" x14ac:dyDescent="0.55000000000000004">
      <c r="A95">
        <v>2014</v>
      </c>
      <c r="B95" t="s">
        <v>12</v>
      </c>
      <c r="C95" t="s">
        <v>18</v>
      </c>
      <c r="D95" t="s">
        <v>23</v>
      </c>
      <c r="E95">
        <v>93.8</v>
      </c>
      <c r="F95">
        <v>92.9</v>
      </c>
      <c r="G95">
        <v>3122</v>
      </c>
      <c r="H95">
        <v>3000</v>
      </c>
      <c r="I95">
        <v>3152</v>
      </c>
      <c r="J95">
        <v>3100</v>
      </c>
      <c r="K95">
        <v>3000</v>
      </c>
      <c r="L95">
        <v>3300</v>
      </c>
    </row>
    <row r="96" spans="1:12" x14ac:dyDescent="0.55000000000000004">
      <c r="A96">
        <v>2014</v>
      </c>
      <c r="B96" t="s">
        <v>12</v>
      </c>
      <c r="C96" t="s">
        <v>18</v>
      </c>
      <c r="D96" t="s">
        <v>24</v>
      </c>
      <c r="E96">
        <v>94.5</v>
      </c>
      <c r="F96">
        <v>93.7</v>
      </c>
      <c r="G96">
        <v>3269</v>
      </c>
      <c r="H96">
        <v>3200</v>
      </c>
      <c r="I96">
        <v>3304</v>
      </c>
      <c r="J96">
        <v>3200</v>
      </c>
      <c r="K96">
        <v>3000</v>
      </c>
      <c r="L96">
        <v>3700</v>
      </c>
    </row>
    <row r="97" spans="1:12" x14ac:dyDescent="0.55000000000000004">
      <c r="A97">
        <v>2014</v>
      </c>
      <c r="B97" t="s">
        <v>12</v>
      </c>
      <c r="C97" t="s">
        <v>18</v>
      </c>
      <c r="D97" t="s">
        <v>25</v>
      </c>
      <c r="E97">
        <v>90.7</v>
      </c>
      <c r="F97">
        <v>88.4</v>
      </c>
      <c r="G97">
        <v>3241</v>
      </c>
      <c r="H97">
        <v>3175</v>
      </c>
      <c r="I97">
        <v>3336</v>
      </c>
      <c r="J97">
        <v>3200</v>
      </c>
      <c r="K97">
        <v>3000</v>
      </c>
      <c r="L97">
        <v>3500</v>
      </c>
    </row>
    <row r="98" spans="1:12" x14ac:dyDescent="0.55000000000000004">
      <c r="A98">
        <v>2014</v>
      </c>
      <c r="B98" t="s">
        <v>12</v>
      </c>
      <c r="C98" t="s">
        <v>18</v>
      </c>
      <c r="D98" t="s">
        <v>26</v>
      </c>
      <c r="E98">
        <v>88.9</v>
      </c>
      <c r="F98">
        <v>82.2</v>
      </c>
      <c r="G98">
        <v>3121</v>
      </c>
      <c r="H98">
        <v>3000</v>
      </c>
      <c r="I98">
        <v>3111</v>
      </c>
      <c r="J98">
        <v>3000</v>
      </c>
      <c r="K98">
        <v>3000</v>
      </c>
      <c r="L98">
        <v>3500</v>
      </c>
    </row>
    <row r="99" spans="1:12" x14ac:dyDescent="0.55000000000000004">
      <c r="A99">
        <v>2014</v>
      </c>
      <c r="B99" t="s">
        <v>12</v>
      </c>
      <c r="C99" t="s">
        <v>18</v>
      </c>
      <c r="D99" t="s">
        <v>27</v>
      </c>
      <c r="E99">
        <v>85.7</v>
      </c>
      <c r="F99">
        <v>73.2</v>
      </c>
      <c r="G99">
        <v>3185</v>
      </c>
      <c r="H99">
        <v>3000</v>
      </c>
      <c r="I99">
        <v>3318</v>
      </c>
      <c r="J99">
        <v>3200</v>
      </c>
      <c r="K99">
        <v>3000</v>
      </c>
      <c r="L99">
        <v>3600</v>
      </c>
    </row>
    <row r="100" spans="1:12" x14ac:dyDescent="0.55000000000000004">
      <c r="A100">
        <v>2014</v>
      </c>
      <c r="B100" t="s">
        <v>12</v>
      </c>
      <c r="C100" t="s">
        <v>18</v>
      </c>
      <c r="D100" t="s">
        <v>28</v>
      </c>
      <c r="E100">
        <v>82.5</v>
      </c>
      <c r="F100">
        <v>77.7</v>
      </c>
      <c r="G100">
        <v>3145</v>
      </c>
      <c r="H100">
        <v>3000</v>
      </c>
      <c r="I100">
        <v>3261</v>
      </c>
      <c r="J100">
        <v>3150</v>
      </c>
      <c r="K100">
        <v>3000</v>
      </c>
      <c r="L100">
        <v>3410</v>
      </c>
    </row>
    <row r="101" spans="1:12" x14ac:dyDescent="0.55000000000000004">
      <c r="A101">
        <v>2014</v>
      </c>
      <c r="B101" t="s">
        <v>12</v>
      </c>
      <c r="C101" t="s">
        <v>18</v>
      </c>
      <c r="D101" t="s">
        <v>29</v>
      </c>
      <c r="E101">
        <v>90.2</v>
      </c>
      <c r="F101">
        <v>87.8</v>
      </c>
      <c r="G101">
        <v>3161</v>
      </c>
      <c r="H101">
        <v>3000</v>
      </c>
      <c r="I101">
        <v>3289</v>
      </c>
      <c r="J101">
        <v>3100</v>
      </c>
      <c r="K101">
        <v>3000</v>
      </c>
      <c r="L101">
        <v>3500</v>
      </c>
    </row>
    <row r="102" spans="1:12" x14ac:dyDescent="0.55000000000000004">
      <c r="A102">
        <v>2014</v>
      </c>
      <c r="B102" t="s">
        <v>12</v>
      </c>
      <c r="C102" t="s">
        <v>18</v>
      </c>
      <c r="D102" t="s">
        <v>30</v>
      </c>
      <c r="E102">
        <v>92.5</v>
      </c>
      <c r="F102">
        <v>92.5</v>
      </c>
      <c r="G102">
        <v>3163</v>
      </c>
      <c r="H102">
        <v>3050</v>
      </c>
      <c r="I102">
        <v>3206</v>
      </c>
      <c r="J102">
        <v>3050</v>
      </c>
      <c r="K102">
        <v>3000</v>
      </c>
      <c r="L102">
        <v>3500</v>
      </c>
    </row>
    <row r="103" spans="1:12" x14ac:dyDescent="0.55000000000000004">
      <c r="A103">
        <v>2014</v>
      </c>
      <c r="B103" t="s">
        <v>12</v>
      </c>
      <c r="C103" t="s">
        <v>31</v>
      </c>
      <c r="D103" t="s">
        <v>32</v>
      </c>
      <c r="E103">
        <v>80</v>
      </c>
      <c r="F103">
        <v>68</v>
      </c>
      <c r="G103">
        <v>2761</v>
      </c>
      <c r="H103">
        <v>2600</v>
      </c>
      <c r="I103">
        <v>2791</v>
      </c>
      <c r="J103">
        <v>2700</v>
      </c>
      <c r="K103">
        <v>2300</v>
      </c>
      <c r="L103">
        <v>3000</v>
      </c>
    </row>
    <row r="104" spans="1:12" x14ac:dyDescent="0.55000000000000004">
      <c r="A104">
        <v>2014</v>
      </c>
      <c r="B104" t="s">
        <v>12</v>
      </c>
      <c r="C104" t="s">
        <v>31</v>
      </c>
      <c r="D104" t="s">
        <v>33</v>
      </c>
      <c r="E104">
        <v>86.8</v>
      </c>
      <c r="F104">
        <v>75.8</v>
      </c>
      <c r="G104">
        <v>2927</v>
      </c>
      <c r="H104">
        <v>3000</v>
      </c>
      <c r="I104">
        <v>3006</v>
      </c>
      <c r="J104">
        <v>3000</v>
      </c>
      <c r="K104">
        <v>2700</v>
      </c>
      <c r="L104">
        <v>3300</v>
      </c>
    </row>
    <row r="105" spans="1:12" x14ac:dyDescent="0.55000000000000004">
      <c r="A105">
        <v>2014</v>
      </c>
      <c r="B105" t="s">
        <v>12</v>
      </c>
      <c r="C105" t="s">
        <v>31</v>
      </c>
      <c r="D105" t="s">
        <v>34</v>
      </c>
      <c r="E105">
        <v>86.7</v>
      </c>
      <c r="F105">
        <v>77.900000000000006</v>
      </c>
      <c r="G105">
        <v>2891</v>
      </c>
      <c r="H105">
        <v>2800</v>
      </c>
      <c r="I105">
        <v>2976</v>
      </c>
      <c r="J105">
        <v>3000</v>
      </c>
      <c r="K105">
        <v>2600</v>
      </c>
      <c r="L105">
        <v>3294</v>
      </c>
    </row>
    <row r="106" spans="1:12" x14ac:dyDescent="0.55000000000000004">
      <c r="A106">
        <v>2014</v>
      </c>
      <c r="B106" t="s">
        <v>12</v>
      </c>
      <c r="C106" t="s">
        <v>31</v>
      </c>
      <c r="D106" t="s">
        <v>35</v>
      </c>
      <c r="E106">
        <v>88.7</v>
      </c>
      <c r="F106">
        <v>78.400000000000006</v>
      </c>
      <c r="G106">
        <v>3183</v>
      </c>
      <c r="H106">
        <v>3075</v>
      </c>
      <c r="I106">
        <v>3222</v>
      </c>
      <c r="J106">
        <v>3200</v>
      </c>
      <c r="K106">
        <v>3000</v>
      </c>
      <c r="L106">
        <v>3500</v>
      </c>
    </row>
    <row r="107" spans="1:12" x14ac:dyDescent="0.55000000000000004">
      <c r="A107">
        <v>2014</v>
      </c>
      <c r="B107" t="s">
        <v>12</v>
      </c>
      <c r="C107" t="s">
        <v>31</v>
      </c>
      <c r="D107" t="s">
        <v>36</v>
      </c>
      <c r="E107">
        <v>87</v>
      </c>
      <c r="F107">
        <v>63</v>
      </c>
      <c r="G107">
        <v>3137</v>
      </c>
      <c r="H107">
        <v>3000</v>
      </c>
      <c r="I107">
        <v>3432</v>
      </c>
      <c r="J107">
        <v>3100</v>
      </c>
      <c r="K107">
        <v>2800</v>
      </c>
      <c r="L107">
        <v>3990</v>
      </c>
    </row>
    <row r="108" spans="1:12" x14ac:dyDescent="0.55000000000000004">
      <c r="A108">
        <v>2014</v>
      </c>
      <c r="B108" t="s">
        <v>12</v>
      </c>
      <c r="C108" t="s">
        <v>31</v>
      </c>
      <c r="D108" t="s">
        <v>37</v>
      </c>
      <c r="E108">
        <v>85.7</v>
      </c>
      <c r="F108">
        <v>66.7</v>
      </c>
      <c r="G108">
        <v>3066</v>
      </c>
      <c r="H108">
        <v>3000</v>
      </c>
      <c r="I108">
        <v>3148</v>
      </c>
      <c r="J108">
        <v>3230</v>
      </c>
      <c r="K108">
        <v>2800</v>
      </c>
      <c r="L108">
        <v>3500</v>
      </c>
    </row>
    <row r="109" spans="1:12" x14ac:dyDescent="0.55000000000000004">
      <c r="A109">
        <v>2014</v>
      </c>
      <c r="B109" t="s">
        <v>12</v>
      </c>
      <c r="C109" t="s">
        <v>31</v>
      </c>
      <c r="D109" t="s">
        <v>38</v>
      </c>
      <c r="E109">
        <v>66.7</v>
      </c>
      <c r="F109">
        <v>54.9</v>
      </c>
      <c r="G109">
        <v>3197</v>
      </c>
      <c r="H109">
        <v>3100</v>
      </c>
      <c r="I109">
        <v>3228</v>
      </c>
      <c r="J109">
        <v>3100</v>
      </c>
      <c r="K109">
        <v>2800</v>
      </c>
      <c r="L109">
        <v>3500</v>
      </c>
    </row>
    <row r="110" spans="1:12" x14ac:dyDescent="0.55000000000000004">
      <c r="A110">
        <v>2014</v>
      </c>
      <c r="B110" t="s">
        <v>12</v>
      </c>
      <c r="C110" t="s">
        <v>31</v>
      </c>
      <c r="D110" t="s">
        <v>39</v>
      </c>
      <c r="E110">
        <v>73.2</v>
      </c>
      <c r="F110">
        <v>67.900000000000006</v>
      </c>
      <c r="G110">
        <v>3002</v>
      </c>
      <c r="H110">
        <v>3000</v>
      </c>
      <c r="I110">
        <v>3143</v>
      </c>
      <c r="J110">
        <v>3100</v>
      </c>
      <c r="K110">
        <v>2800</v>
      </c>
      <c r="L110">
        <v>3260</v>
      </c>
    </row>
    <row r="111" spans="1:12" x14ac:dyDescent="0.55000000000000004">
      <c r="A111">
        <v>2014</v>
      </c>
      <c r="B111" t="s">
        <v>12</v>
      </c>
      <c r="C111" t="s">
        <v>40</v>
      </c>
      <c r="D111" t="s">
        <v>122</v>
      </c>
      <c r="E111" t="s">
        <v>42</v>
      </c>
      <c r="F111" t="s">
        <v>42</v>
      </c>
      <c r="G111" t="s">
        <v>42</v>
      </c>
      <c r="H111" t="s">
        <v>42</v>
      </c>
      <c r="I111" t="s">
        <v>42</v>
      </c>
      <c r="J111" t="s">
        <v>42</v>
      </c>
      <c r="K111" t="s">
        <v>42</v>
      </c>
      <c r="L111" t="s">
        <v>42</v>
      </c>
    </row>
    <row r="112" spans="1:12" x14ac:dyDescent="0.55000000000000004">
      <c r="A112">
        <v>2014</v>
      </c>
      <c r="B112" t="s">
        <v>12</v>
      </c>
      <c r="C112" t="s">
        <v>40</v>
      </c>
      <c r="D112" t="s">
        <v>123</v>
      </c>
      <c r="E112">
        <v>100</v>
      </c>
      <c r="F112">
        <v>100</v>
      </c>
      <c r="G112">
        <v>2974</v>
      </c>
      <c r="H112">
        <v>2900</v>
      </c>
      <c r="I112">
        <v>3018</v>
      </c>
      <c r="J112">
        <v>2900</v>
      </c>
      <c r="K112">
        <v>2786</v>
      </c>
      <c r="L112">
        <v>3400</v>
      </c>
    </row>
    <row r="113" spans="1:12" x14ac:dyDescent="0.55000000000000004">
      <c r="A113">
        <v>2014</v>
      </c>
      <c r="B113" t="s">
        <v>12</v>
      </c>
      <c r="C113" t="s">
        <v>40</v>
      </c>
      <c r="D113" t="s">
        <v>44</v>
      </c>
      <c r="E113">
        <v>75.099999999999994</v>
      </c>
      <c r="F113">
        <v>60.8</v>
      </c>
      <c r="G113">
        <v>3083</v>
      </c>
      <c r="H113">
        <v>3000</v>
      </c>
      <c r="I113">
        <v>3174</v>
      </c>
      <c r="J113">
        <v>3000</v>
      </c>
      <c r="K113">
        <v>2800</v>
      </c>
      <c r="L113">
        <v>3400</v>
      </c>
    </row>
    <row r="114" spans="1:12" x14ac:dyDescent="0.55000000000000004">
      <c r="A114">
        <v>2014</v>
      </c>
      <c r="B114" t="s">
        <v>12</v>
      </c>
      <c r="C114" t="s">
        <v>40</v>
      </c>
      <c r="D114" t="s">
        <v>45</v>
      </c>
      <c r="E114">
        <v>80.5</v>
      </c>
      <c r="F114">
        <v>68.3</v>
      </c>
      <c r="G114">
        <v>3006</v>
      </c>
      <c r="H114">
        <v>3000</v>
      </c>
      <c r="I114">
        <v>3321</v>
      </c>
      <c r="J114">
        <v>3100</v>
      </c>
      <c r="K114">
        <v>2800</v>
      </c>
      <c r="L114">
        <v>3400</v>
      </c>
    </row>
    <row r="115" spans="1:12" x14ac:dyDescent="0.55000000000000004">
      <c r="A115">
        <v>2014</v>
      </c>
      <c r="B115" t="s">
        <v>12</v>
      </c>
      <c r="C115" t="s">
        <v>40</v>
      </c>
      <c r="D115" t="s">
        <v>124</v>
      </c>
      <c r="E115">
        <v>88.4</v>
      </c>
      <c r="F115">
        <v>87</v>
      </c>
      <c r="G115">
        <v>3155</v>
      </c>
      <c r="H115">
        <v>3200</v>
      </c>
      <c r="I115">
        <v>3142</v>
      </c>
      <c r="J115">
        <v>3200</v>
      </c>
      <c r="K115">
        <v>2800</v>
      </c>
      <c r="L115">
        <v>3500</v>
      </c>
    </row>
    <row r="116" spans="1:12" x14ac:dyDescent="0.55000000000000004">
      <c r="A116">
        <v>2014</v>
      </c>
      <c r="B116" t="s">
        <v>12</v>
      </c>
      <c r="C116" t="s">
        <v>40</v>
      </c>
      <c r="D116" t="s">
        <v>47</v>
      </c>
      <c r="E116">
        <v>91.3</v>
      </c>
      <c r="F116">
        <v>79.7</v>
      </c>
      <c r="G116">
        <v>3022</v>
      </c>
      <c r="H116">
        <v>3000</v>
      </c>
      <c r="I116">
        <v>3078</v>
      </c>
      <c r="J116">
        <v>3200</v>
      </c>
      <c r="K116">
        <v>2800</v>
      </c>
      <c r="L116">
        <v>3300</v>
      </c>
    </row>
    <row r="117" spans="1:12" x14ac:dyDescent="0.55000000000000004">
      <c r="A117">
        <v>2014</v>
      </c>
      <c r="B117" t="s">
        <v>12</v>
      </c>
      <c r="C117" t="s">
        <v>40</v>
      </c>
      <c r="D117" t="s">
        <v>48</v>
      </c>
      <c r="E117">
        <v>73.7</v>
      </c>
      <c r="F117">
        <v>63.2</v>
      </c>
      <c r="G117">
        <v>3034</v>
      </c>
      <c r="H117">
        <v>3000</v>
      </c>
      <c r="I117">
        <v>3241</v>
      </c>
      <c r="J117">
        <v>3100</v>
      </c>
      <c r="K117">
        <v>2800</v>
      </c>
      <c r="L117">
        <v>3560</v>
      </c>
    </row>
    <row r="118" spans="1:12" x14ac:dyDescent="0.55000000000000004">
      <c r="A118">
        <v>2014</v>
      </c>
      <c r="B118" t="s">
        <v>12</v>
      </c>
      <c r="C118" t="s">
        <v>40</v>
      </c>
      <c r="D118" t="s">
        <v>49</v>
      </c>
      <c r="E118">
        <v>87.9</v>
      </c>
      <c r="F118">
        <v>69.7</v>
      </c>
      <c r="G118">
        <v>3076</v>
      </c>
      <c r="H118">
        <v>2800</v>
      </c>
      <c r="I118">
        <v>3229</v>
      </c>
      <c r="J118">
        <v>3000</v>
      </c>
      <c r="K118">
        <v>2700</v>
      </c>
      <c r="L118">
        <v>3590</v>
      </c>
    </row>
    <row r="119" spans="1:12" x14ac:dyDescent="0.55000000000000004">
      <c r="A119">
        <v>2014</v>
      </c>
      <c r="B119" t="s">
        <v>12</v>
      </c>
      <c r="C119" t="s">
        <v>50</v>
      </c>
      <c r="D119" t="s">
        <v>51</v>
      </c>
      <c r="E119">
        <v>100</v>
      </c>
      <c r="F119">
        <v>100</v>
      </c>
      <c r="G119">
        <v>3358</v>
      </c>
      <c r="H119">
        <v>3400</v>
      </c>
      <c r="I119">
        <v>3475</v>
      </c>
      <c r="J119">
        <v>3475</v>
      </c>
      <c r="K119">
        <v>3400</v>
      </c>
      <c r="L119">
        <v>3750</v>
      </c>
    </row>
    <row r="120" spans="1:12" x14ac:dyDescent="0.55000000000000004">
      <c r="A120">
        <v>2014</v>
      </c>
      <c r="B120" t="s">
        <v>12</v>
      </c>
      <c r="C120" t="s">
        <v>50</v>
      </c>
      <c r="D120" t="s">
        <v>52</v>
      </c>
      <c r="E120">
        <v>100</v>
      </c>
      <c r="F120">
        <v>100</v>
      </c>
      <c r="G120">
        <v>3388</v>
      </c>
      <c r="H120">
        <v>3400</v>
      </c>
      <c r="I120">
        <v>3536</v>
      </c>
      <c r="J120">
        <v>3475</v>
      </c>
      <c r="K120">
        <v>3400</v>
      </c>
      <c r="L120">
        <v>3700</v>
      </c>
    </row>
    <row r="121" spans="1:12" x14ac:dyDescent="0.55000000000000004">
      <c r="A121">
        <v>2014</v>
      </c>
      <c r="B121" t="s">
        <v>53</v>
      </c>
      <c r="C121" t="s">
        <v>54</v>
      </c>
      <c r="D121" t="s">
        <v>55</v>
      </c>
      <c r="E121">
        <v>81.900000000000006</v>
      </c>
      <c r="F121">
        <v>65.3</v>
      </c>
      <c r="G121">
        <v>2719</v>
      </c>
      <c r="H121">
        <v>2750</v>
      </c>
      <c r="I121">
        <v>2883</v>
      </c>
      <c r="J121">
        <v>2800</v>
      </c>
      <c r="K121">
        <v>2500</v>
      </c>
      <c r="L121">
        <v>3010</v>
      </c>
    </row>
    <row r="122" spans="1:12" x14ac:dyDescent="0.55000000000000004">
      <c r="A122">
        <v>2014</v>
      </c>
      <c r="B122" t="s">
        <v>53</v>
      </c>
      <c r="C122" t="s">
        <v>54</v>
      </c>
      <c r="D122" t="s">
        <v>56</v>
      </c>
      <c r="E122">
        <v>83.1</v>
      </c>
      <c r="F122">
        <v>76.599999999999994</v>
      </c>
      <c r="G122">
        <v>3141</v>
      </c>
      <c r="H122">
        <v>3210</v>
      </c>
      <c r="I122">
        <v>3277</v>
      </c>
      <c r="J122">
        <v>3300</v>
      </c>
      <c r="K122">
        <v>3000</v>
      </c>
      <c r="L122">
        <v>3600</v>
      </c>
    </row>
    <row r="123" spans="1:12" x14ac:dyDescent="0.55000000000000004">
      <c r="A123">
        <v>2014</v>
      </c>
      <c r="B123" t="s">
        <v>53</v>
      </c>
      <c r="C123" t="s">
        <v>54</v>
      </c>
      <c r="D123" t="s">
        <v>57</v>
      </c>
      <c r="E123">
        <v>88.7</v>
      </c>
      <c r="F123">
        <v>80.099999999999994</v>
      </c>
      <c r="G123">
        <v>3192</v>
      </c>
      <c r="H123">
        <v>3200</v>
      </c>
      <c r="I123">
        <v>3304</v>
      </c>
      <c r="J123">
        <v>3250</v>
      </c>
      <c r="K123">
        <v>3000</v>
      </c>
      <c r="L123">
        <v>3600</v>
      </c>
    </row>
    <row r="124" spans="1:12" x14ac:dyDescent="0.55000000000000004">
      <c r="A124">
        <v>2014</v>
      </c>
      <c r="B124" t="s">
        <v>53</v>
      </c>
      <c r="C124" t="s">
        <v>58</v>
      </c>
      <c r="D124" t="s">
        <v>59</v>
      </c>
      <c r="E124">
        <v>87.9</v>
      </c>
      <c r="F124">
        <v>83.6</v>
      </c>
      <c r="G124">
        <v>3234</v>
      </c>
      <c r="H124">
        <v>3000</v>
      </c>
      <c r="I124">
        <v>3367</v>
      </c>
      <c r="J124">
        <v>3000</v>
      </c>
      <c r="K124">
        <v>2800</v>
      </c>
      <c r="L124">
        <v>3300</v>
      </c>
    </row>
    <row r="125" spans="1:12" x14ac:dyDescent="0.55000000000000004">
      <c r="A125">
        <v>2014</v>
      </c>
      <c r="B125" t="s">
        <v>53</v>
      </c>
      <c r="C125" t="s">
        <v>58</v>
      </c>
      <c r="D125" t="s">
        <v>60</v>
      </c>
      <c r="E125">
        <v>94.4</v>
      </c>
      <c r="F125">
        <v>90.6</v>
      </c>
      <c r="G125">
        <v>3979</v>
      </c>
      <c r="H125">
        <v>3500</v>
      </c>
      <c r="I125">
        <v>4090</v>
      </c>
      <c r="J125">
        <v>3520</v>
      </c>
      <c r="K125">
        <v>3200</v>
      </c>
      <c r="L125">
        <v>4300</v>
      </c>
    </row>
    <row r="126" spans="1:12" x14ac:dyDescent="0.55000000000000004">
      <c r="A126">
        <v>2014</v>
      </c>
      <c r="B126" t="s">
        <v>53</v>
      </c>
      <c r="C126" t="s">
        <v>58</v>
      </c>
      <c r="D126" t="s">
        <v>61</v>
      </c>
      <c r="E126">
        <v>93.9</v>
      </c>
      <c r="F126">
        <v>89.8</v>
      </c>
      <c r="G126">
        <v>2836</v>
      </c>
      <c r="H126">
        <v>2800</v>
      </c>
      <c r="I126">
        <v>2989</v>
      </c>
      <c r="J126">
        <v>2838</v>
      </c>
      <c r="K126">
        <v>2700</v>
      </c>
      <c r="L126">
        <v>3000</v>
      </c>
    </row>
    <row r="127" spans="1:12" x14ac:dyDescent="0.55000000000000004">
      <c r="A127">
        <v>2014</v>
      </c>
      <c r="B127" t="s">
        <v>53</v>
      </c>
      <c r="C127" t="s">
        <v>58</v>
      </c>
      <c r="D127" t="s">
        <v>62</v>
      </c>
      <c r="E127">
        <v>100</v>
      </c>
      <c r="F127">
        <v>96.3</v>
      </c>
      <c r="G127">
        <v>3350</v>
      </c>
      <c r="H127">
        <v>2850</v>
      </c>
      <c r="I127">
        <v>3407</v>
      </c>
      <c r="J127">
        <v>2912</v>
      </c>
      <c r="K127">
        <v>2800</v>
      </c>
      <c r="L127">
        <v>3614</v>
      </c>
    </row>
    <row r="128" spans="1:12" x14ac:dyDescent="0.55000000000000004">
      <c r="A128">
        <v>2014</v>
      </c>
      <c r="B128" t="s">
        <v>53</v>
      </c>
      <c r="C128" t="s">
        <v>63</v>
      </c>
      <c r="D128" t="s">
        <v>64</v>
      </c>
      <c r="E128">
        <v>82.1</v>
      </c>
      <c r="F128">
        <v>82.1</v>
      </c>
      <c r="G128">
        <v>3107</v>
      </c>
      <c r="H128">
        <v>3000</v>
      </c>
      <c r="I128">
        <v>3129</v>
      </c>
      <c r="J128">
        <v>3088</v>
      </c>
      <c r="K128">
        <v>2900</v>
      </c>
      <c r="L128">
        <v>3300</v>
      </c>
    </row>
    <row r="129" spans="1:12" x14ac:dyDescent="0.55000000000000004">
      <c r="A129">
        <v>2014</v>
      </c>
      <c r="B129" t="s">
        <v>53</v>
      </c>
      <c r="C129" t="s">
        <v>63</v>
      </c>
      <c r="D129" t="s">
        <v>65</v>
      </c>
      <c r="E129" t="s">
        <v>42</v>
      </c>
      <c r="F129" t="s">
        <v>42</v>
      </c>
      <c r="G129" t="s">
        <v>42</v>
      </c>
      <c r="H129" t="s">
        <v>42</v>
      </c>
      <c r="I129" t="s">
        <v>42</v>
      </c>
      <c r="J129" t="s">
        <v>42</v>
      </c>
      <c r="K129" t="s">
        <v>42</v>
      </c>
      <c r="L129" t="s">
        <v>42</v>
      </c>
    </row>
    <row r="130" spans="1:12" x14ac:dyDescent="0.55000000000000004">
      <c r="A130">
        <v>2014</v>
      </c>
      <c r="B130" t="s">
        <v>53</v>
      </c>
      <c r="C130" t="s">
        <v>63</v>
      </c>
      <c r="D130" t="s">
        <v>66</v>
      </c>
      <c r="E130" t="s">
        <v>42</v>
      </c>
      <c r="F130" t="s">
        <v>42</v>
      </c>
      <c r="G130" t="s">
        <v>42</v>
      </c>
      <c r="H130" t="s">
        <v>42</v>
      </c>
      <c r="I130" t="s">
        <v>42</v>
      </c>
      <c r="J130" t="s">
        <v>42</v>
      </c>
      <c r="K130" t="s">
        <v>42</v>
      </c>
      <c r="L130" t="s">
        <v>42</v>
      </c>
    </row>
    <row r="131" spans="1:12" x14ac:dyDescent="0.55000000000000004">
      <c r="A131">
        <v>2014</v>
      </c>
      <c r="B131" t="s">
        <v>53</v>
      </c>
      <c r="C131" t="s">
        <v>63</v>
      </c>
      <c r="D131" t="s">
        <v>67</v>
      </c>
      <c r="E131">
        <v>90.6</v>
      </c>
      <c r="F131">
        <v>85.9</v>
      </c>
      <c r="G131">
        <v>3729</v>
      </c>
      <c r="H131">
        <v>3500</v>
      </c>
      <c r="I131">
        <v>3712</v>
      </c>
      <c r="J131">
        <v>3500</v>
      </c>
      <c r="K131">
        <v>3300</v>
      </c>
      <c r="L131">
        <v>4000</v>
      </c>
    </row>
    <row r="132" spans="1:12" x14ac:dyDescent="0.55000000000000004">
      <c r="A132">
        <v>2014</v>
      </c>
      <c r="B132" t="s">
        <v>53</v>
      </c>
      <c r="C132" t="s">
        <v>63</v>
      </c>
      <c r="D132" t="s">
        <v>68</v>
      </c>
      <c r="E132">
        <v>85.7</v>
      </c>
      <c r="F132">
        <v>85.7</v>
      </c>
      <c r="G132">
        <v>3183</v>
      </c>
      <c r="H132">
        <v>3000</v>
      </c>
      <c r="I132">
        <v>3386</v>
      </c>
      <c r="J132">
        <v>3200</v>
      </c>
      <c r="K132">
        <v>3000</v>
      </c>
      <c r="L132">
        <v>3500</v>
      </c>
    </row>
    <row r="133" spans="1:12" x14ac:dyDescent="0.55000000000000004">
      <c r="A133">
        <v>2014</v>
      </c>
      <c r="B133" t="s">
        <v>53</v>
      </c>
      <c r="C133" t="s">
        <v>63</v>
      </c>
      <c r="D133" t="s">
        <v>69</v>
      </c>
      <c r="E133">
        <v>95.5</v>
      </c>
      <c r="F133">
        <v>92</v>
      </c>
      <c r="G133">
        <v>3684</v>
      </c>
      <c r="H133">
        <v>3352</v>
      </c>
      <c r="I133">
        <v>3789</v>
      </c>
      <c r="J133">
        <v>3500</v>
      </c>
      <c r="K133">
        <v>3100</v>
      </c>
      <c r="L133">
        <v>4039</v>
      </c>
    </row>
    <row r="134" spans="1:12" x14ac:dyDescent="0.55000000000000004">
      <c r="A134">
        <v>2014</v>
      </c>
      <c r="B134" t="s">
        <v>53</v>
      </c>
      <c r="C134" t="s">
        <v>70</v>
      </c>
      <c r="D134" t="s">
        <v>71</v>
      </c>
      <c r="E134">
        <v>100</v>
      </c>
      <c r="F134">
        <v>100</v>
      </c>
      <c r="G134">
        <v>4054</v>
      </c>
      <c r="H134">
        <v>4000</v>
      </c>
      <c r="I134">
        <v>4054</v>
      </c>
      <c r="J134">
        <v>4000</v>
      </c>
      <c r="K134">
        <v>4000</v>
      </c>
      <c r="L134">
        <v>4020</v>
      </c>
    </row>
    <row r="135" spans="1:12" x14ac:dyDescent="0.55000000000000004">
      <c r="A135">
        <v>2014</v>
      </c>
      <c r="B135" t="s">
        <v>53</v>
      </c>
      <c r="C135" t="s">
        <v>72</v>
      </c>
      <c r="D135" t="s">
        <v>125</v>
      </c>
      <c r="E135">
        <v>98.4</v>
      </c>
      <c r="F135">
        <v>95.2</v>
      </c>
      <c r="G135">
        <v>4290</v>
      </c>
      <c r="H135">
        <v>4200</v>
      </c>
      <c r="I135">
        <v>4400</v>
      </c>
      <c r="J135">
        <v>4275</v>
      </c>
      <c r="K135">
        <v>4000</v>
      </c>
      <c r="L135">
        <v>4750</v>
      </c>
    </row>
    <row r="136" spans="1:12" x14ac:dyDescent="0.55000000000000004">
      <c r="A136">
        <v>2014</v>
      </c>
      <c r="B136" t="s">
        <v>53</v>
      </c>
      <c r="C136" t="s">
        <v>72</v>
      </c>
      <c r="D136" t="s">
        <v>74</v>
      </c>
      <c r="E136">
        <v>77.3</v>
      </c>
      <c r="F136">
        <v>59.1</v>
      </c>
      <c r="G136">
        <v>2600</v>
      </c>
      <c r="H136">
        <v>2550</v>
      </c>
      <c r="I136">
        <v>2603</v>
      </c>
      <c r="J136">
        <v>2565</v>
      </c>
      <c r="K136">
        <v>2200</v>
      </c>
      <c r="L136">
        <v>3000</v>
      </c>
    </row>
    <row r="137" spans="1:12" x14ac:dyDescent="0.55000000000000004">
      <c r="A137">
        <v>2014</v>
      </c>
      <c r="B137" t="s">
        <v>53</v>
      </c>
      <c r="C137" t="s">
        <v>72</v>
      </c>
      <c r="D137" t="s">
        <v>75</v>
      </c>
      <c r="E137">
        <v>95.3</v>
      </c>
      <c r="F137">
        <v>94.1</v>
      </c>
      <c r="G137">
        <v>3089</v>
      </c>
      <c r="H137">
        <v>3000</v>
      </c>
      <c r="I137">
        <v>3181</v>
      </c>
      <c r="J137">
        <v>3000</v>
      </c>
      <c r="K137">
        <v>2900</v>
      </c>
      <c r="L137">
        <v>3360</v>
      </c>
    </row>
    <row r="138" spans="1:12" x14ac:dyDescent="0.55000000000000004">
      <c r="A138">
        <v>2014</v>
      </c>
      <c r="B138" t="s">
        <v>53</v>
      </c>
      <c r="C138" t="s">
        <v>72</v>
      </c>
      <c r="D138" t="s">
        <v>76</v>
      </c>
      <c r="E138">
        <v>93.1</v>
      </c>
      <c r="F138">
        <v>89.2</v>
      </c>
      <c r="G138">
        <v>2931</v>
      </c>
      <c r="H138">
        <v>2950</v>
      </c>
      <c r="I138">
        <v>3108</v>
      </c>
      <c r="J138">
        <v>3000</v>
      </c>
      <c r="K138">
        <v>2750</v>
      </c>
      <c r="L138">
        <v>3300</v>
      </c>
    </row>
    <row r="139" spans="1:12" x14ac:dyDescent="0.55000000000000004">
      <c r="A139">
        <v>2014</v>
      </c>
      <c r="B139" t="s">
        <v>53</v>
      </c>
      <c r="C139" t="s">
        <v>77</v>
      </c>
      <c r="D139" t="s">
        <v>126</v>
      </c>
      <c r="E139">
        <v>87.5</v>
      </c>
      <c r="F139">
        <v>77.099999999999994</v>
      </c>
      <c r="G139">
        <v>2966</v>
      </c>
      <c r="H139">
        <v>3000</v>
      </c>
      <c r="I139">
        <v>3058</v>
      </c>
      <c r="J139">
        <v>3000</v>
      </c>
      <c r="K139">
        <v>2700</v>
      </c>
      <c r="L139">
        <v>3300</v>
      </c>
    </row>
    <row r="140" spans="1:12" x14ac:dyDescent="0.55000000000000004">
      <c r="A140">
        <v>2014</v>
      </c>
      <c r="B140" t="s">
        <v>53</v>
      </c>
      <c r="C140" t="s">
        <v>77</v>
      </c>
      <c r="D140" t="s">
        <v>79</v>
      </c>
      <c r="E140">
        <v>83.9</v>
      </c>
      <c r="F140">
        <v>76.400000000000006</v>
      </c>
      <c r="G140">
        <v>3277</v>
      </c>
      <c r="H140">
        <v>3200</v>
      </c>
      <c r="I140">
        <v>3434</v>
      </c>
      <c r="J140">
        <v>3300</v>
      </c>
      <c r="K140">
        <v>3000</v>
      </c>
      <c r="L140">
        <v>3650</v>
      </c>
    </row>
    <row r="141" spans="1:12" x14ac:dyDescent="0.55000000000000004">
      <c r="A141">
        <v>2014</v>
      </c>
      <c r="B141" t="s">
        <v>53</v>
      </c>
      <c r="C141" t="s">
        <v>77</v>
      </c>
      <c r="D141" t="s">
        <v>80</v>
      </c>
      <c r="E141">
        <v>97.1</v>
      </c>
      <c r="F141">
        <v>97.1</v>
      </c>
      <c r="G141">
        <v>3212</v>
      </c>
      <c r="H141">
        <v>3200</v>
      </c>
      <c r="I141">
        <v>3281</v>
      </c>
      <c r="J141">
        <v>3208</v>
      </c>
      <c r="K141">
        <v>3000</v>
      </c>
      <c r="L141">
        <v>3500</v>
      </c>
    </row>
    <row r="142" spans="1:12" x14ac:dyDescent="0.55000000000000004">
      <c r="A142">
        <v>2014</v>
      </c>
      <c r="B142" t="s">
        <v>53</v>
      </c>
      <c r="C142" t="s">
        <v>77</v>
      </c>
      <c r="D142" t="s">
        <v>81</v>
      </c>
      <c r="E142">
        <v>95.2</v>
      </c>
      <c r="F142">
        <v>92.4</v>
      </c>
      <c r="G142">
        <v>3674</v>
      </c>
      <c r="H142">
        <v>3500</v>
      </c>
      <c r="I142">
        <v>3762</v>
      </c>
      <c r="J142">
        <v>3500</v>
      </c>
      <c r="K142">
        <v>3200</v>
      </c>
      <c r="L142">
        <v>4080</v>
      </c>
    </row>
    <row r="143" spans="1:12" x14ac:dyDescent="0.55000000000000004">
      <c r="A143">
        <v>2014</v>
      </c>
      <c r="B143" t="s">
        <v>53</v>
      </c>
      <c r="C143" t="s">
        <v>77</v>
      </c>
      <c r="D143" t="s">
        <v>82</v>
      </c>
      <c r="E143">
        <v>90.6</v>
      </c>
      <c r="F143">
        <v>88.1</v>
      </c>
      <c r="G143">
        <v>3306</v>
      </c>
      <c r="H143">
        <v>3200</v>
      </c>
      <c r="I143">
        <v>3571</v>
      </c>
      <c r="J143">
        <v>3300</v>
      </c>
      <c r="K143">
        <v>3000</v>
      </c>
      <c r="L143">
        <v>3800</v>
      </c>
    </row>
    <row r="144" spans="1:12" x14ac:dyDescent="0.55000000000000004">
      <c r="A144">
        <v>2014</v>
      </c>
      <c r="B144" t="s">
        <v>53</v>
      </c>
      <c r="C144" t="s">
        <v>77</v>
      </c>
      <c r="D144" t="s">
        <v>83</v>
      </c>
      <c r="E144">
        <v>81.3</v>
      </c>
      <c r="F144">
        <v>62.5</v>
      </c>
      <c r="G144">
        <v>3375</v>
      </c>
      <c r="H144">
        <v>3300</v>
      </c>
      <c r="I144">
        <v>3465</v>
      </c>
      <c r="J144">
        <v>3400</v>
      </c>
      <c r="K144">
        <v>3275</v>
      </c>
      <c r="L144">
        <v>3790</v>
      </c>
    </row>
    <row r="145" spans="1:12" x14ac:dyDescent="0.55000000000000004">
      <c r="A145">
        <v>2014</v>
      </c>
      <c r="B145" t="s">
        <v>53</v>
      </c>
      <c r="C145" t="s">
        <v>77</v>
      </c>
      <c r="D145" t="s">
        <v>84</v>
      </c>
      <c r="E145">
        <v>95.2</v>
      </c>
      <c r="F145">
        <v>92.9</v>
      </c>
      <c r="G145">
        <v>3250</v>
      </c>
      <c r="H145">
        <v>3200</v>
      </c>
      <c r="I145">
        <v>3215</v>
      </c>
      <c r="J145">
        <v>3230</v>
      </c>
      <c r="K145">
        <v>3000</v>
      </c>
      <c r="L145">
        <v>3422</v>
      </c>
    </row>
    <row r="146" spans="1:12" x14ac:dyDescent="0.55000000000000004">
      <c r="A146">
        <v>2014</v>
      </c>
      <c r="B146" t="s">
        <v>53</v>
      </c>
      <c r="C146" t="s">
        <v>77</v>
      </c>
      <c r="D146" t="s">
        <v>85</v>
      </c>
      <c r="E146">
        <v>96.5</v>
      </c>
      <c r="F146">
        <v>96.5</v>
      </c>
      <c r="G146">
        <v>3591</v>
      </c>
      <c r="H146">
        <v>3350</v>
      </c>
      <c r="I146">
        <v>3719</v>
      </c>
      <c r="J146">
        <v>3600</v>
      </c>
      <c r="K146">
        <v>3200</v>
      </c>
      <c r="L146">
        <v>4000</v>
      </c>
    </row>
    <row r="147" spans="1:12" x14ac:dyDescent="0.55000000000000004">
      <c r="A147">
        <v>2014</v>
      </c>
      <c r="B147" t="s">
        <v>53</v>
      </c>
      <c r="C147" t="s">
        <v>77</v>
      </c>
      <c r="D147" t="s">
        <v>86</v>
      </c>
      <c r="E147">
        <v>78.599999999999994</v>
      </c>
      <c r="F147">
        <v>73.8</v>
      </c>
      <c r="G147">
        <v>3054</v>
      </c>
      <c r="H147">
        <v>3100</v>
      </c>
      <c r="I147">
        <v>3350</v>
      </c>
      <c r="J147">
        <v>3300</v>
      </c>
      <c r="K147">
        <v>3000</v>
      </c>
      <c r="L147">
        <v>3600</v>
      </c>
    </row>
    <row r="148" spans="1:12" x14ac:dyDescent="0.55000000000000004">
      <c r="A148">
        <v>2014</v>
      </c>
      <c r="B148" t="s">
        <v>53</v>
      </c>
      <c r="C148" t="s">
        <v>77</v>
      </c>
      <c r="D148" t="s">
        <v>87</v>
      </c>
      <c r="E148">
        <v>90</v>
      </c>
      <c r="F148">
        <v>88.5</v>
      </c>
      <c r="G148">
        <v>3160</v>
      </c>
      <c r="H148">
        <v>3100</v>
      </c>
      <c r="I148">
        <v>3323</v>
      </c>
      <c r="J148">
        <v>3200</v>
      </c>
      <c r="K148">
        <v>3000</v>
      </c>
      <c r="L148">
        <v>3500</v>
      </c>
    </row>
    <row r="149" spans="1:12" x14ac:dyDescent="0.55000000000000004">
      <c r="A149">
        <v>2014</v>
      </c>
      <c r="B149" t="s">
        <v>53</v>
      </c>
      <c r="C149" t="s">
        <v>88</v>
      </c>
      <c r="D149" t="s">
        <v>89</v>
      </c>
      <c r="E149">
        <v>98.2</v>
      </c>
      <c r="F149">
        <v>97.6</v>
      </c>
      <c r="G149">
        <v>5027</v>
      </c>
      <c r="H149">
        <v>5000</v>
      </c>
      <c r="I149">
        <v>5247</v>
      </c>
      <c r="J149">
        <v>5150</v>
      </c>
      <c r="K149">
        <v>4800</v>
      </c>
      <c r="L149">
        <v>5800</v>
      </c>
    </row>
    <row r="150" spans="1:12" x14ac:dyDescent="0.55000000000000004">
      <c r="A150">
        <v>2014</v>
      </c>
      <c r="B150" t="s">
        <v>53</v>
      </c>
      <c r="C150" t="s">
        <v>90</v>
      </c>
      <c r="D150" t="s">
        <v>127</v>
      </c>
      <c r="E150">
        <v>100</v>
      </c>
      <c r="F150">
        <v>100</v>
      </c>
      <c r="G150">
        <v>4404</v>
      </c>
      <c r="H150">
        <v>4500</v>
      </c>
      <c r="I150">
        <v>4886</v>
      </c>
      <c r="J150">
        <v>5000</v>
      </c>
      <c r="K150">
        <v>4500</v>
      </c>
      <c r="L150">
        <v>5200</v>
      </c>
    </row>
    <row r="151" spans="1:12" x14ac:dyDescent="0.55000000000000004">
      <c r="A151">
        <v>2014</v>
      </c>
      <c r="B151" t="s">
        <v>53</v>
      </c>
      <c r="C151" t="s">
        <v>90</v>
      </c>
      <c r="D151" t="s">
        <v>92</v>
      </c>
      <c r="E151">
        <v>100</v>
      </c>
      <c r="F151">
        <v>95.6</v>
      </c>
      <c r="G151">
        <v>2976</v>
      </c>
      <c r="H151">
        <v>3000</v>
      </c>
      <c r="I151">
        <v>3188</v>
      </c>
      <c r="J151">
        <v>3200</v>
      </c>
      <c r="K151">
        <v>3050</v>
      </c>
      <c r="L151">
        <v>3386</v>
      </c>
    </row>
    <row r="152" spans="1:12" x14ac:dyDescent="0.55000000000000004">
      <c r="A152">
        <v>2014</v>
      </c>
      <c r="B152" t="s">
        <v>53</v>
      </c>
      <c r="C152" t="s">
        <v>90</v>
      </c>
      <c r="D152" t="s">
        <v>93</v>
      </c>
      <c r="E152">
        <v>100</v>
      </c>
      <c r="F152">
        <v>100</v>
      </c>
      <c r="G152">
        <v>3123</v>
      </c>
      <c r="H152">
        <v>3270</v>
      </c>
      <c r="I152">
        <v>3353</v>
      </c>
      <c r="J152">
        <v>3500</v>
      </c>
      <c r="K152">
        <v>3270</v>
      </c>
      <c r="L152">
        <v>3600</v>
      </c>
    </row>
    <row r="153" spans="1:12" x14ac:dyDescent="0.55000000000000004">
      <c r="A153">
        <v>2014</v>
      </c>
      <c r="B153" t="s">
        <v>53</v>
      </c>
      <c r="C153" t="s">
        <v>94</v>
      </c>
      <c r="D153" t="s">
        <v>95</v>
      </c>
      <c r="E153" t="s">
        <v>42</v>
      </c>
      <c r="F153" t="s">
        <v>42</v>
      </c>
      <c r="G153" t="s">
        <v>42</v>
      </c>
      <c r="H153" t="s">
        <v>42</v>
      </c>
      <c r="I153" t="s">
        <v>42</v>
      </c>
      <c r="J153" t="s">
        <v>42</v>
      </c>
      <c r="K153" t="s">
        <v>42</v>
      </c>
      <c r="L153" t="s">
        <v>42</v>
      </c>
    </row>
    <row r="154" spans="1:12" x14ac:dyDescent="0.55000000000000004">
      <c r="A154">
        <v>2014</v>
      </c>
      <c r="B154" t="s">
        <v>53</v>
      </c>
      <c r="C154" t="s">
        <v>96</v>
      </c>
      <c r="D154" t="s">
        <v>97</v>
      </c>
      <c r="E154" t="s">
        <v>42</v>
      </c>
      <c r="F154" t="s">
        <v>42</v>
      </c>
      <c r="G154" t="s">
        <v>42</v>
      </c>
      <c r="H154" t="s">
        <v>42</v>
      </c>
      <c r="I154" t="s">
        <v>42</v>
      </c>
      <c r="J154" t="s">
        <v>42</v>
      </c>
      <c r="K154" t="s">
        <v>42</v>
      </c>
      <c r="L154" t="s">
        <v>42</v>
      </c>
    </row>
    <row r="155" spans="1:12" x14ac:dyDescent="0.55000000000000004">
      <c r="A155">
        <v>2014</v>
      </c>
      <c r="B155" t="s">
        <v>53</v>
      </c>
      <c r="C155" t="s">
        <v>96</v>
      </c>
      <c r="D155" t="s">
        <v>98</v>
      </c>
      <c r="E155">
        <v>95.5</v>
      </c>
      <c r="F155">
        <v>81.8</v>
      </c>
      <c r="G155">
        <v>2760</v>
      </c>
      <c r="H155">
        <v>2750</v>
      </c>
      <c r="I155">
        <v>2831</v>
      </c>
      <c r="J155">
        <v>2800</v>
      </c>
      <c r="K155">
        <v>2600</v>
      </c>
      <c r="L155">
        <v>3000</v>
      </c>
    </row>
    <row r="156" spans="1:12" x14ac:dyDescent="0.55000000000000004">
      <c r="A156">
        <v>2014</v>
      </c>
      <c r="B156" t="s">
        <v>53</v>
      </c>
      <c r="C156" t="s">
        <v>96</v>
      </c>
      <c r="D156" t="s">
        <v>99</v>
      </c>
      <c r="E156">
        <v>76.8</v>
      </c>
      <c r="F156">
        <v>61.4</v>
      </c>
      <c r="G156">
        <v>2804</v>
      </c>
      <c r="H156">
        <v>2800</v>
      </c>
      <c r="I156">
        <v>2973</v>
      </c>
      <c r="J156">
        <v>3000</v>
      </c>
      <c r="K156">
        <v>2700</v>
      </c>
      <c r="L156">
        <v>3200</v>
      </c>
    </row>
    <row r="157" spans="1:12" x14ac:dyDescent="0.55000000000000004">
      <c r="A157">
        <v>2014</v>
      </c>
      <c r="B157" t="s">
        <v>53</v>
      </c>
      <c r="C157" t="s">
        <v>96</v>
      </c>
      <c r="D157" t="s">
        <v>100</v>
      </c>
      <c r="E157">
        <v>86.6</v>
      </c>
      <c r="F157">
        <v>75.8</v>
      </c>
      <c r="G157">
        <v>3224</v>
      </c>
      <c r="H157">
        <v>3200</v>
      </c>
      <c r="I157">
        <v>3328</v>
      </c>
      <c r="J157">
        <v>3210</v>
      </c>
      <c r="K157">
        <v>2950</v>
      </c>
      <c r="L157">
        <v>3600</v>
      </c>
    </row>
    <row r="158" spans="1:12" x14ac:dyDescent="0.55000000000000004">
      <c r="A158">
        <v>2014</v>
      </c>
      <c r="B158" t="s">
        <v>53</v>
      </c>
      <c r="C158" t="s">
        <v>96</v>
      </c>
      <c r="D158" t="s">
        <v>101</v>
      </c>
      <c r="E158" t="s">
        <v>42</v>
      </c>
      <c r="F158" t="s">
        <v>42</v>
      </c>
      <c r="G158" t="s">
        <v>42</v>
      </c>
      <c r="H158" t="s">
        <v>42</v>
      </c>
      <c r="I158" t="s">
        <v>42</v>
      </c>
      <c r="J158" t="s">
        <v>42</v>
      </c>
      <c r="K158" t="s">
        <v>42</v>
      </c>
      <c r="L158" t="s">
        <v>42</v>
      </c>
    </row>
    <row r="159" spans="1:12" x14ac:dyDescent="0.55000000000000004">
      <c r="A159">
        <v>2014</v>
      </c>
      <c r="B159" t="s">
        <v>53</v>
      </c>
      <c r="C159" t="s">
        <v>96</v>
      </c>
      <c r="D159" t="s">
        <v>102</v>
      </c>
      <c r="E159">
        <v>98.9</v>
      </c>
      <c r="F159">
        <v>96.7</v>
      </c>
      <c r="G159">
        <v>3467</v>
      </c>
      <c r="H159">
        <v>3500</v>
      </c>
      <c r="I159">
        <v>3670</v>
      </c>
      <c r="J159">
        <v>3630</v>
      </c>
      <c r="K159">
        <v>3470</v>
      </c>
      <c r="L159">
        <v>4000</v>
      </c>
    </row>
    <row r="160" spans="1:12" x14ac:dyDescent="0.55000000000000004">
      <c r="A160">
        <v>2014</v>
      </c>
      <c r="B160" t="s">
        <v>103</v>
      </c>
      <c r="C160" t="s">
        <v>128</v>
      </c>
      <c r="D160" t="s">
        <v>129</v>
      </c>
      <c r="E160">
        <v>93.6</v>
      </c>
      <c r="F160">
        <v>91.4</v>
      </c>
      <c r="G160">
        <v>3375</v>
      </c>
      <c r="H160">
        <v>2850</v>
      </c>
      <c r="I160">
        <v>3420</v>
      </c>
      <c r="J160">
        <v>2875</v>
      </c>
      <c r="K160">
        <v>2722</v>
      </c>
      <c r="L160">
        <v>3614</v>
      </c>
    </row>
    <row r="161" spans="1:12" x14ac:dyDescent="0.55000000000000004">
      <c r="A161">
        <v>2014</v>
      </c>
      <c r="B161" t="s">
        <v>103</v>
      </c>
      <c r="C161" t="s">
        <v>128</v>
      </c>
      <c r="D161" t="s">
        <v>130</v>
      </c>
      <c r="E161">
        <v>97.4</v>
      </c>
      <c r="F161">
        <v>96.1</v>
      </c>
      <c r="G161">
        <v>3871</v>
      </c>
      <c r="H161">
        <v>3450</v>
      </c>
      <c r="I161">
        <v>3903</v>
      </c>
      <c r="J161">
        <v>3500</v>
      </c>
      <c r="K161">
        <v>2875</v>
      </c>
      <c r="L161">
        <v>4300</v>
      </c>
    </row>
    <row r="162" spans="1:12" x14ac:dyDescent="0.55000000000000004">
      <c r="A162">
        <v>2014</v>
      </c>
      <c r="B162" t="s">
        <v>103</v>
      </c>
      <c r="C162" t="s">
        <v>131</v>
      </c>
      <c r="D162" t="s">
        <v>132</v>
      </c>
      <c r="E162">
        <v>90.9</v>
      </c>
      <c r="F162">
        <v>86.4</v>
      </c>
      <c r="G162">
        <v>3630</v>
      </c>
      <c r="H162">
        <v>3250</v>
      </c>
      <c r="I162">
        <v>3752</v>
      </c>
      <c r="J162">
        <v>3333</v>
      </c>
      <c r="K162">
        <v>3000</v>
      </c>
      <c r="L162">
        <v>4000</v>
      </c>
    </row>
    <row r="163" spans="1:12" x14ac:dyDescent="0.55000000000000004">
      <c r="A163">
        <v>2014</v>
      </c>
      <c r="B163" t="s">
        <v>103</v>
      </c>
      <c r="C163" t="s">
        <v>131</v>
      </c>
      <c r="D163" t="s">
        <v>133</v>
      </c>
      <c r="E163">
        <v>94.5</v>
      </c>
      <c r="F163">
        <v>94</v>
      </c>
      <c r="G163">
        <v>4019</v>
      </c>
      <c r="H163">
        <v>3500</v>
      </c>
      <c r="I163">
        <v>4116</v>
      </c>
      <c r="J163">
        <v>3600</v>
      </c>
      <c r="K163">
        <v>3200</v>
      </c>
      <c r="L163">
        <v>4500</v>
      </c>
    </row>
    <row r="164" spans="1:12" x14ac:dyDescent="0.55000000000000004">
      <c r="A164">
        <v>2014</v>
      </c>
      <c r="B164" t="s">
        <v>103</v>
      </c>
      <c r="C164" t="s">
        <v>134</v>
      </c>
      <c r="D164" t="s">
        <v>135</v>
      </c>
      <c r="E164">
        <v>90.2</v>
      </c>
      <c r="F164">
        <v>83.9</v>
      </c>
      <c r="G164">
        <v>3525</v>
      </c>
      <c r="H164">
        <v>3500</v>
      </c>
      <c r="I164">
        <v>3645</v>
      </c>
      <c r="J164">
        <v>3500</v>
      </c>
      <c r="K164">
        <v>3175</v>
      </c>
      <c r="L164">
        <v>4000</v>
      </c>
    </row>
    <row r="165" spans="1:12" x14ac:dyDescent="0.55000000000000004">
      <c r="A165">
        <v>2014</v>
      </c>
      <c r="B165" t="s">
        <v>103</v>
      </c>
      <c r="C165" t="s">
        <v>134</v>
      </c>
      <c r="D165" t="s">
        <v>136</v>
      </c>
      <c r="E165">
        <v>90.6</v>
      </c>
      <c r="F165">
        <v>89.1</v>
      </c>
      <c r="G165">
        <v>3815</v>
      </c>
      <c r="H165">
        <v>3800</v>
      </c>
      <c r="I165">
        <v>3824</v>
      </c>
      <c r="J165">
        <v>3800</v>
      </c>
      <c r="K165">
        <v>3300</v>
      </c>
      <c r="L165">
        <v>4350</v>
      </c>
    </row>
    <row r="166" spans="1:12" x14ac:dyDescent="0.55000000000000004">
      <c r="A166">
        <v>2014</v>
      </c>
      <c r="B166" t="s">
        <v>103</v>
      </c>
      <c r="C166" t="s">
        <v>137</v>
      </c>
      <c r="D166" t="s">
        <v>138</v>
      </c>
      <c r="E166">
        <v>92.9</v>
      </c>
      <c r="F166">
        <v>80.599999999999994</v>
      </c>
      <c r="G166">
        <v>3431</v>
      </c>
      <c r="H166">
        <v>3225</v>
      </c>
      <c r="I166">
        <v>3530</v>
      </c>
      <c r="J166">
        <v>3350</v>
      </c>
      <c r="K166">
        <v>3000</v>
      </c>
      <c r="L166">
        <v>4000</v>
      </c>
    </row>
    <row r="167" spans="1:12" x14ac:dyDescent="0.55000000000000004">
      <c r="A167">
        <v>2014</v>
      </c>
      <c r="B167" t="s">
        <v>103</v>
      </c>
      <c r="C167" t="s">
        <v>137</v>
      </c>
      <c r="D167" t="s">
        <v>139</v>
      </c>
      <c r="E167">
        <v>97.4</v>
      </c>
      <c r="F167">
        <v>84.2</v>
      </c>
      <c r="G167">
        <v>4057</v>
      </c>
      <c r="H167">
        <v>4000</v>
      </c>
      <c r="I167">
        <v>4151</v>
      </c>
      <c r="J167">
        <v>4050</v>
      </c>
      <c r="K167">
        <v>3500</v>
      </c>
      <c r="L167">
        <v>4540</v>
      </c>
    </row>
    <row r="168" spans="1:12" x14ac:dyDescent="0.55000000000000004">
      <c r="A168">
        <v>2014</v>
      </c>
      <c r="B168" t="s">
        <v>103</v>
      </c>
      <c r="C168" t="s">
        <v>140</v>
      </c>
      <c r="D168" t="s">
        <v>141</v>
      </c>
      <c r="E168">
        <v>90.9</v>
      </c>
      <c r="F168">
        <v>84.1</v>
      </c>
      <c r="G168">
        <v>2981</v>
      </c>
      <c r="H168">
        <v>3000</v>
      </c>
      <c r="I168">
        <v>3166</v>
      </c>
      <c r="J168">
        <v>3000</v>
      </c>
      <c r="K168">
        <v>2800</v>
      </c>
      <c r="L168">
        <v>3580</v>
      </c>
    </row>
    <row r="169" spans="1:12" x14ac:dyDescent="0.55000000000000004">
      <c r="A169">
        <v>2014</v>
      </c>
      <c r="B169" t="s">
        <v>103</v>
      </c>
      <c r="C169" t="s">
        <v>140</v>
      </c>
      <c r="D169" t="s">
        <v>142</v>
      </c>
      <c r="E169">
        <v>87.5</v>
      </c>
      <c r="F169">
        <v>81.3</v>
      </c>
      <c r="G169">
        <v>3331</v>
      </c>
      <c r="H169">
        <v>3215</v>
      </c>
      <c r="I169">
        <v>3545</v>
      </c>
      <c r="J169">
        <v>3590</v>
      </c>
      <c r="K169">
        <v>3000</v>
      </c>
      <c r="L169">
        <v>3955</v>
      </c>
    </row>
    <row r="170" spans="1:12" x14ac:dyDescent="0.55000000000000004">
      <c r="A170">
        <v>2014</v>
      </c>
      <c r="B170" t="s">
        <v>103</v>
      </c>
      <c r="C170" t="s">
        <v>143</v>
      </c>
      <c r="D170" t="s">
        <v>144</v>
      </c>
      <c r="E170">
        <v>97.8</v>
      </c>
      <c r="F170">
        <v>95.6</v>
      </c>
      <c r="G170">
        <v>4932</v>
      </c>
      <c r="H170">
        <v>4800</v>
      </c>
      <c r="I170">
        <v>5332</v>
      </c>
      <c r="J170">
        <v>5025</v>
      </c>
      <c r="K170">
        <v>4600</v>
      </c>
      <c r="L170">
        <v>5950</v>
      </c>
    </row>
    <row r="171" spans="1:12" x14ac:dyDescent="0.55000000000000004">
      <c r="A171">
        <v>2014</v>
      </c>
      <c r="B171" t="s">
        <v>103</v>
      </c>
      <c r="C171" t="s">
        <v>143</v>
      </c>
      <c r="D171" t="s">
        <v>145</v>
      </c>
      <c r="E171">
        <v>97.7</v>
      </c>
      <c r="F171">
        <v>97.7</v>
      </c>
      <c r="G171">
        <v>5089</v>
      </c>
      <c r="H171">
        <v>4900</v>
      </c>
      <c r="I171">
        <v>5571</v>
      </c>
      <c r="J171">
        <v>5800</v>
      </c>
      <c r="K171">
        <v>4800</v>
      </c>
      <c r="L171">
        <v>6000</v>
      </c>
    </row>
    <row r="172" spans="1:12" x14ac:dyDescent="0.55000000000000004">
      <c r="A172">
        <v>2014</v>
      </c>
      <c r="B172" t="s">
        <v>146</v>
      </c>
      <c r="C172" t="s">
        <v>147</v>
      </c>
      <c r="D172" t="s">
        <v>148</v>
      </c>
      <c r="E172">
        <v>100</v>
      </c>
      <c r="F172">
        <v>86.7</v>
      </c>
      <c r="G172">
        <v>2490</v>
      </c>
      <c r="H172">
        <v>2700</v>
      </c>
      <c r="I172">
        <v>2490</v>
      </c>
      <c r="J172">
        <v>2700</v>
      </c>
      <c r="K172">
        <v>2575</v>
      </c>
      <c r="L172">
        <v>2800</v>
      </c>
    </row>
    <row r="173" spans="1:12" x14ac:dyDescent="0.55000000000000004">
      <c r="A173">
        <v>2014</v>
      </c>
      <c r="B173" t="s">
        <v>146</v>
      </c>
      <c r="C173" t="s">
        <v>147</v>
      </c>
      <c r="D173" t="s">
        <v>149</v>
      </c>
      <c r="E173">
        <v>90.6</v>
      </c>
      <c r="F173">
        <v>84.4</v>
      </c>
      <c r="G173">
        <v>2586</v>
      </c>
      <c r="H173">
        <v>2600</v>
      </c>
      <c r="I173">
        <v>2603</v>
      </c>
      <c r="J173">
        <v>2600</v>
      </c>
      <c r="K173">
        <v>2300</v>
      </c>
      <c r="L173">
        <v>2885</v>
      </c>
    </row>
    <row r="174" spans="1:12" x14ac:dyDescent="0.55000000000000004">
      <c r="A174">
        <v>2014</v>
      </c>
      <c r="B174" t="s">
        <v>146</v>
      </c>
      <c r="C174" t="s">
        <v>147</v>
      </c>
      <c r="D174" t="s">
        <v>150</v>
      </c>
      <c r="E174">
        <v>100</v>
      </c>
      <c r="F174">
        <v>100</v>
      </c>
      <c r="G174">
        <v>2932</v>
      </c>
      <c r="H174">
        <v>2875</v>
      </c>
      <c r="I174">
        <v>2955</v>
      </c>
      <c r="J174">
        <v>2975</v>
      </c>
      <c r="K174">
        <v>2800</v>
      </c>
      <c r="L174">
        <v>3075</v>
      </c>
    </row>
    <row r="175" spans="1:12" x14ac:dyDescent="0.55000000000000004">
      <c r="A175">
        <v>2014</v>
      </c>
      <c r="B175" t="s">
        <v>146</v>
      </c>
      <c r="C175" t="s">
        <v>147</v>
      </c>
      <c r="D175" t="s">
        <v>151</v>
      </c>
      <c r="E175">
        <v>100</v>
      </c>
      <c r="F175">
        <v>100</v>
      </c>
      <c r="G175">
        <v>2859</v>
      </c>
      <c r="H175">
        <v>3000</v>
      </c>
      <c r="I175">
        <v>2910</v>
      </c>
      <c r="J175">
        <v>3000</v>
      </c>
      <c r="K175">
        <v>2700</v>
      </c>
      <c r="L175">
        <v>3300</v>
      </c>
    </row>
    <row r="176" spans="1:12" x14ac:dyDescent="0.55000000000000004">
      <c r="A176">
        <v>2014</v>
      </c>
      <c r="B176" t="s">
        <v>146</v>
      </c>
      <c r="C176" t="s">
        <v>152</v>
      </c>
      <c r="D176" t="s">
        <v>153</v>
      </c>
      <c r="E176">
        <v>89.1</v>
      </c>
      <c r="F176">
        <v>78.3</v>
      </c>
      <c r="G176">
        <v>2547</v>
      </c>
      <c r="H176">
        <v>2500</v>
      </c>
      <c r="I176">
        <v>2595</v>
      </c>
      <c r="J176">
        <v>2500</v>
      </c>
      <c r="K176">
        <v>2400</v>
      </c>
      <c r="L176">
        <v>2800</v>
      </c>
    </row>
    <row r="177" spans="1:12" x14ac:dyDescent="0.55000000000000004">
      <c r="A177">
        <v>2014</v>
      </c>
      <c r="B177" t="s">
        <v>146</v>
      </c>
      <c r="C177" t="s">
        <v>152</v>
      </c>
      <c r="D177" t="s">
        <v>154</v>
      </c>
      <c r="E177">
        <v>93.9</v>
      </c>
      <c r="F177">
        <v>90.9</v>
      </c>
      <c r="G177">
        <v>2553</v>
      </c>
      <c r="H177">
        <v>2500</v>
      </c>
      <c r="I177">
        <v>2583</v>
      </c>
      <c r="J177">
        <v>2500</v>
      </c>
      <c r="K177">
        <v>2373</v>
      </c>
      <c r="L177">
        <v>2800</v>
      </c>
    </row>
    <row r="178" spans="1:12" x14ac:dyDescent="0.55000000000000004">
      <c r="A178">
        <v>2014</v>
      </c>
      <c r="B178" t="s">
        <v>146</v>
      </c>
      <c r="C178" t="s">
        <v>155</v>
      </c>
      <c r="D178" t="s">
        <v>156</v>
      </c>
      <c r="E178">
        <v>90.1</v>
      </c>
      <c r="F178">
        <v>84.5</v>
      </c>
      <c r="G178">
        <v>3041</v>
      </c>
      <c r="H178">
        <v>3000</v>
      </c>
      <c r="I178">
        <v>3325</v>
      </c>
      <c r="J178">
        <v>3300</v>
      </c>
      <c r="K178">
        <v>3000</v>
      </c>
      <c r="L178">
        <v>3650</v>
      </c>
    </row>
    <row r="179" spans="1:12" x14ac:dyDescent="0.55000000000000004">
      <c r="A179">
        <v>2014</v>
      </c>
      <c r="B179" t="s">
        <v>146</v>
      </c>
      <c r="C179" t="s">
        <v>155</v>
      </c>
      <c r="D179" t="s">
        <v>157</v>
      </c>
      <c r="E179">
        <v>92.6</v>
      </c>
      <c r="F179">
        <v>88.9</v>
      </c>
      <c r="G179">
        <v>3208</v>
      </c>
      <c r="H179">
        <v>3100</v>
      </c>
      <c r="I179">
        <v>3334</v>
      </c>
      <c r="J179">
        <v>3260</v>
      </c>
      <c r="K179">
        <v>3003</v>
      </c>
      <c r="L179">
        <v>3594</v>
      </c>
    </row>
    <row r="180" spans="1:12" x14ac:dyDescent="0.55000000000000004">
      <c r="A180">
        <v>2014</v>
      </c>
      <c r="B180" t="s">
        <v>146</v>
      </c>
      <c r="C180" t="s">
        <v>155</v>
      </c>
      <c r="D180" t="s">
        <v>158</v>
      </c>
      <c r="E180">
        <v>97.1</v>
      </c>
      <c r="F180">
        <v>85.7</v>
      </c>
      <c r="G180">
        <v>3196</v>
      </c>
      <c r="H180">
        <v>3000</v>
      </c>
      <c r="I180">
        <v>3273</v>
      </c>
      <c r="J180">
        <v>3100</v>
      </c>
      <c r="K180">
        <v>3000</v>
      </c>
      <c r="L180">
        <v>3338</v>
      </c>
    </row>
    <row r="181" spans="1:12" x14ac:dyDescent="0.55000000000000004">
      <c r="A181">
        <v>2014</v>
      </c>
      <c r="B181" t="s">
        <v>146</v>
      </c>
      <c r="C181" t="s">
        <v>155</v>
      </c>
      <c r="D181" t="s">
        <v>159</v>
      </c>
      <c r="E181">
        <v>100</v>
      </c>
      <c r="F181">
        <v>94.1</v>
      </c>
      <c r="G181">
        <v>3293</v>
      </c>
      <c r="H181">
        <v>3355</v>
      </c>
      <c r="I181">
        <v>3467</v>
      </c>
      <c r="J181">
        <v>3500</v>
      </c>
      <c r="K181">
        <v>3233</v>
      </c>
      <c r="L181">
        <v>3675</v>
      </c>
    </row>
    <row r="182" spans="1:12" x14ac:dyDescent="0.55000000000000004">
      <c r="A182">
        <v>2014</v>
      </c>
      <c r="B182" t="s">
        <v>146</v>
      </c>
      <c r="C182" t="s">
        <v>155</v>
      </c>
      <c r="D182" t="s">
        <v>160</v>
      </c>
      <c r="E182">
        <v>91.3</v>
      </c>
      <c r="F182">
        <v>91.3</v>
      </c>
      <c r="G182">
        <v>3311</v>
      </c>
      <c r="H182">
        <v>3200</v>
      </c>
      <c r="I182">
        <v>3467</v>
      </c>
      <c r="J182">
        <v>3300</v>
      </c>
      <c r="K182">
        <v>3075</v>
      </c>
      <c r="L182">
        <v>3625</v>
      </c>
    </row>
    <row r="183" spans="1:12" x14ac:dyDescent="0.55000000000000004">
      <c r="A183">
        <v>2014</v>
      </c>
      <c r="B183" t="s">
        <v>146</v>
      </c>
      <c r="C183" t="s">
        <v>155</v>
      </c>
      <c r="D183" t="s">
        <v>161</v>
      </c>
      <c r="E183">
        <v>75</v>
      </c>
      <c r="F183">
        <v>61.4</v>
      </c>
      <c r="G183">
        <v>2806</v>
      </c>
      <c r="H183">
        <v>2750</v>
      </c>
      <c r="I183">
        <v>2854</v>
      </c>
      <c r="J183">
        <v>2800</v>
      </c>
      <c r="K183">
        <v>2500</v>
      </c>
      <c r="L183">
        <v>3170</v>
      </c>
    </row>
    <row r="184" spans="1:12" x14ac:dyDescent="0.55000000000000004">
      <c r="A184">
        <v>2014</v>
      </c>
      <c r="B184" t="s">
        <v>146</v>
      </c>
      <c r="C184" t="s">
        <v>162</v>
      </c>
      <c r="D184" t="s">
        <v>163</v>
      </c>
      <c r="E184">
        <v>86.7</v>
      </c>
      <c r="F184">
        <v>86.7</v>
      </c>
      <c r="G184">
        <v>2954</v>
      </c>
      <c r="H184">
        <v>2900</v>
      </c>
      <c r="I184">
        <v>3285</v>
      </c>
      <c r="J184">
        <v>3200</v>
      </c>
      <c r="K184">
        <v>2950</v>
      </c>
      <c r="L184">
        <v>3755</v>
      </c>
    </row>
    <row r="185" spans="1:12" x14ac:dyDescent="0.55000000000000004">
      <c r="A185">
        <v>2014</v>
      </c>
      <c r="B185" t="s">
        <v>146</v>
      </c>
      <c r="C185" t="s">
        <v>162</v>
      </c>
      <c r="D185" t="s">
        <v>164</v>
      </c>
      <c r="E185">
        <v>85.7</v>
      </c>
      <c r="F185">
        <v>82.1</v>
      </c>
      <c r="G185">
        <v>3072</v>
      </c>
      <c r="H185">
        <v>2900</v>
      </c>
      <c r="I185">
        <v>3141</v>
      </c>
      <c r="J185">
        <v>3000</v>
      </c>
      <c r="K185">
        <v>2800</v>
      </c>
      <c r="L185">
        <v>3480</v>
      </c>
    </row>
    <row r="186" spans="1:12" x14ac:dyDescent="0.55000000000000004">
      <c r="A186">
        <v>2014</v>
      </c>
      <c r="B186" t="s">
        <v>146</v>
      </c>
      <c r="C186" t="s">
        <v>165</v>
      </c>
      <c r="D186" t="s">
        <v>166</v>
      </c>
      <c r="E186">
        <v>89.3</v>
      </c>
      <c r="F186">
        <v>89.3</v>
      </c>
      <c r="G186">
        <v>2430</v>
      </c>
      <c r="H186">
        <v>2400</v>
      </c>
      <c r="I186">
        <v>2503</v>
      </c>
      <c r="J186">
        <v>2500</v>
      </c>
      <c r="K186">
        <v>2200</v>
      </c>
      <c r="L186">
        <v>2600</v>
      </c>
    </row>
    <row r="187" spans="1:12" x14ac:dyDescent="0.55000000000000004">
      <c r="A187">
        <v>2014</v>
      </c>
      <c r="B187" t="s">
        <v>146</v>
      </c>
      <c r="C187" t="s">
        <v>167</v>
      </c>
      <c r="D187" t="s">
        <v>168</v>
      </c>
      <c r="E187">
        <v>100</v>
      </c>
      <c r="F187">
        <v>100</v>
      </c>
      <c r="G187">
        <v>3127</v>
      </c>
      <c r="H187">
        <v>3100</v>
      </c>
      <c r="I187">
        <v>3151</v>
      </c>
      <c r="J187">
        <v>3100</v>
      </c>
      <c r="K187">
        <v>3000</v>
      </c>
      <c r="L187">
        <v>3338</v>
      </c>
    </row>
    <row r="188" spans="1:12" x14ac:dyDescent="0.55000000000000004">
      <c r="A188">
        <v>2014</v>
      </c>
      <c r="B188" t="s">
        <v>146</v>
      </c>
      <c r="C188" t="s">
        <v>167</v>
      </c>
      <c r="D188" t="s">
        <v>169</v>
      </c>
      <c r="E188">
        <v>100</v>
      </c>
      <c r="F188">
        <v>100</v>
      </c>
      <c r="G188">
        <v>3204</v>
      </c>
      <c r="H188">
        <v>3200</v>
      </c>
      <c r="I188">
        <v>3229</v>
      </c>
      <c r="J188">
        <v>3200</v>
      </c>
      <c r="K188">
        <v>3000</v>
      </c>
      <c r="L188">
        <v>3500</v>
      </c>
    </row>
    <row r="189" spans="1:12" x14ac:dyDescent="0.55000000000000004">
      <c r="A189">
        <v>2014</v>
      </c>
      <c r="B189" t="s">
        <v>146</v>
      </c>
      <c r="C189" t="s">
        <v>170</v>
      </c>
      <c r="D189" t="s">
        <v>171</v>
      </c>
      <c r="E189">
        <v>88</v>
      </c>
      <c r="F189">
        <v>88</v>
      </c>
      <c r="G189">
        <v>3396</v>
      </c>
      <c r="H189">
        <v>3000</v>
      </c>
      <c r="I189">
        <v>3415</v>
      </c>
      <c r="J189">
        <v>3000</v>
      </c>
      <c r="K189">
        <v>2849</v>
      </c>
      <c r="L189">
        <v>4194</v>
      </c>
    </row>
    <row r="190" spans="1:12" x14ac:dyDescent="0.55000000000000004">
      <c r="A190">
        <v>2014</v>
      </c>
      <c r="B190" t="s">
        <v>146</v>
      </c>
      <c r="C190" t="s">
        <v>170</v>
      </c>
      <c r="D190" t="s">
        <v>172</v>
      </c>
      <c r="E190">
        <v>85.7</v>
      </c>
      <c r="F190">
        <v>75</v>
      </c>
      <c r="G190">
        <v>3217</v>
      </c>
      <c r="H190">
        <v>3100</v>
      </c>
      <c r="I190">
        <v>3333</v>
      </c>
      <c r="J190">
        <v>3150</v>
      </c>
      <c r="K190">
        <v>2900</v>
      </c>
      <c r="L190">
        <v>3500</v>
      </c>
    </row>
    <row r="191" spans="1:12" x14ac:dyDescent="0.55000000000000004">
      <c r="A191">
        <v>2014</v>
      </c>
      <c r="B191" t="s">
        <v>146</v>
      </c>
      <c r="C191" t="s">
        <v>170</v>
      </c>
      <c r="D191" t="s">
        <v>173</v>
      </c>
      <c r="E191">
        <v>92.3</v>
      </c>
      <c r="F191">
        <v>92.3</v>
      </c>
      <c r="G191">
        <v>3229</v>
      </c>
      <c r="H191">
        <v>3000</v>
      </c>
      <c r="I191">
        <v>3424</v>
      </c>
      <c r="J191">
        <v>3250</v>
      </c>
      <c r="K191">
        <v>2950</v>
      </c>
      <c r="L191">
        <v>3556</v>
      </c>
    </row>
    <row r="192" spans="1:12" x14ac:dyDescent="0.55000000000000004">
      <c r="A192">
        <v>2014</v>
      </c>
      <c r="B192" t="s">
        <v>146</v>
      </c>
      <c r="C192" t="s">
        <v>170</v>
      </c>
      <c r="D192" t="s">
        <v>174</v>
      </c>
      <c r="E192">
        <v>93</v>
      </c>
      <c r="F192">
        <v>87.3</v>
      </c>
      <c r="G192">
        <v>3067</v>
      </c>
      <c r="H192">
        <v>3050</v>
      </c>
      <c r="I192">
        <v>3209</v>
      </c>
      <c r="J192">
        <v>3100</v>
      </c>
      <c r="K192">
        <v>2964</v>
      </c>
      <c r="L192">
        <v>3443</v>
      </c>
    </row>
    <row r="193" spans="1:12" x14ac:dyDescent="0.55000000000000004">
      <c r="A193">
        <v>2014</v>
      </c>
      <c r="B193" t="s">
        <v>146</v>
      </c>
      <c r="C193" t="s">
        <v>175</v>
      </c>
      <c r="D193" t="s">
        <v>176</v>
      </c>
      <c r="E193">
        <v>97.2</v>
      </c>
      <c r="F193">
        <v>94.4</v>
      </c>
      <c r="G193">
        <v>3230</v>
      </c>
      <c r="H193">
        <v>3260</v>
      </c>
      <c r="I193">
        <v>3464</v>
      </c>
      <c r="J193">
        <v>3511</v>
      </c>
      <c r="K193">
        <v>3115</v>
      </c>
      <c r="L193">
        <v>3860</v>
      </c>
    </row>
    <row r="194" spans="1:12" x14ac:dyDescent="0.55000000000000004">
      <c r="A194">
        <v>2014</v>
      </c>
      <c r="B194" t="s">
        <v>146</v>
      </c>
      <c r="C194" t="s">
        <v>177</v>
      </c>
      <c r="D194" t="s">
        <v>178</v>
      </c>
      <c r="E194">
        <v>88.8</v>
      </c>
      <c r="F194">
        <v>78</v>
      </c>
      <c r="G194">
        <v>2445</v>
      </c>
      <c r="H194">
        <v>2500</v>
      </c>
      <c r="I194">
        <v>2634</v>
      </c>
      <c r="J194">
        <v>2500</v>
      </c>
      <c r="K194">
        <v>2300</v>
      </c>
      <c r="L194">
        <v>2900</v>
      </c>
    </row>
    <row r="195" spans="1:12" x14ac:dyDescent="0.55000000000000004">
      <c r="A195">
        <v>2014</v>
      </c>
      <c r="B195" t="s">
        <v>146</v>
      </c>
      <c r="C195" t="s">
        <v>179</v>
      </c>
      <c r="D195" t="s">
        <v>180</v>
      </c>
      <c r="E195">
        <v>97.1</v>
      </c>
      <c r="F195">
        <v>97.1</v>
      </c>
      <c r="G195">
        <v>2509</v>
      </c>
      <c r="H195">
        <v>2600</v>
      </c>
      <c r="I195">
        <v>2553</v>
      </c>
      <c r="J195">
        <v>2600</v>
      </c>
      <c r="K195">
        <v>2475</v>
      </c>
      <c r="L195">
        <v>2613</v>
      </c>
    </row>
    <row r="196" spans="1:12" x14ac:dyDescent="0.55000000000000004">
      <c r="A196">
        <v>2015</v>
      </c>
      <c r="B196" t="s">
        <v>12</v>
      </c>
      <c r="C196" t="s">
        <v>13</v>
      </c>
      <c r="D196" t="s">
        <v>14</v>
      </c>
      <c r="E196">
        <v>98.6</v>
      </c>
      <c r="F196">
        <v>97.3</v>
      </c>
      <c r="G196">
        <v>4225</v>
      </c>
      <c r="H196">
        <v>3500</v>
      </c>
      <c r="I196">
        <v>4438</v>
      </c>
      <c r="J196">
        <v>3770</v>
      </c>
      <c r="K196">
        <v>3000</v>
      </c>
      <c r="L196">
        <v>4850</v>
      </c>
    </row>
    <row r="197" spans="1:12" x14ac:dyDescent="0.55000000000000004">
      <c r="A197">
        <v>2015</v>
      </c>
      <c r="B197" t="s">
        <v>12</v>
      </c>
      <c r="C197" t="s">
        <v>13</v>
      </c>
      <c r="D197" t="s">
        <v>15</v>
      </c>
      <c r="E197">
        <v>97.3</v>
      </c>
      <c r="F197">
        <v>96.5</v>
      </c>
      <c r="G197">
        <v>3182</v>
      </c>
      <c r="H197">
        <v>2850</v>
      </c>
      <c r="I197">
        <v>3240</v>
      </c>
      <c r="J197">
        <v>2875</v>
      </c>
      <c r="K197">
        <v>2850</v>
      </c>
      <c r="L197">
        <v>3125</v>
      </c>
    </row>
    <row r="198" spans="1:12" x14ac:dyDescent="0.55000000000000004">
      <c r="A198">
        <v>2015</v>
      </c>
      <c r="B198" t="s">
        <v>12</v>
      </c>
      <c r="C198" t="s">
        <v>13</v>
      </c>
      <c r="D198" t="s">
        <v>16</v>
      </c>
      <c r="E198">
        <v>92.2</v>
      </c>
      <c r="F198">
        <v>87.6</v>
      </c>
      <c r="G198">
        <v>3343</v>
      </c>
      <c r="H198">
        <v>3100</v>
      </c>
      <c r="I198">
        <v>3502</v>
      </c>
      <c r="J198">
        <v>3200</v>
      </c>
      <c r="K198">
        <v>2900</v>
      </c>
      <c r="L198">
        <v>3700</v>
      </c>
    </row>
    <row r="199" spans="1:12" x14ac:dyDescent="0.55000000000000004">
      <c r="A199">
        <v>2015</v>
      </c>
      <c r="B199" t="s">
        <v>12</v>
      </c>
      <c r="C199" t="s">
        <v>13</v>
      </c>
      <c r="D199" t="s">
        <v>17</v>
      </c>
      <c r="E199">
        <v>100</v>
      </c>
      <c r="F199">
        <v>100</v>
      </c>
      <c r="G199">
        <v>4036</v>
      </c>
      <c r="H199">
        <v>4184</v>
      </c>
      <c r="I199">
        <v>4395</v>
      </c>
      <c r="J199">
        <v>4583</v>
      </c>
      <c r="K199">
        <v>3800</v>
      </c>
      <c r="L199">
        <v>4876</v>
      </c>
    </row>
    <row r="200" spans="1:12" x14ac:dyDescent="0.55000000000000004">
      <c r="A200">
        <v>2015</v>
      </c>
      <c r="B200" t="s">
        <v>12</v>
      </c>
      <c r="C200" t="s">
        <v>18</v>
      </c>
      <c r="D200" t="s">
        <v>19</v>
      </c>
      <c r="E200">
        <v>86</v>
      </c>
      <c r="F200">
        <v>86</v>
      </c>
      <c r="G200">
        <v>3699</v>
      </c>
      <c r="H200">
        <v>3650</v>
      </c>
      <c r="I200">
        <v>3724</v>
      </c>
      <c r="J200">
        <v>3700</v>
      </c>
      <c r="K200">
        <v>3450</v>
      </c>
      <c r="L200">
        <v>4000</v>
      </c>
    </row>
    <row r="201" spans="1:12" x14ac:dyDescent="0.55000000000000004">
      <c r="A201">
        <v>2015</v>
      </c>
      <c r="B201" t="s">
        <v>12</v>
      </c>
      <c r="C201" t="s">
        <v>18</v>
      </c>
      <c r="D201" t="s">
        <v>181</v>
      </c>
      <c r="E201" t="s">
        <v>42</v>
      </c>
      <c r="F201" t="s">
        <v>42</v>
      </c>
      <c r="G201" t="s">
        <v>42</v>
      </c>
      <c r="H201" t="s">
        <v>42</v>
      </c>
      <c r="I201" t="s">
        <v>42</v>
      </c>
      <c r="J201" t="s">
        <v>42</v>
      </c>
      <c r="K201" t="s">
        <v>42</v>
      </c>
      <c r="L201" t="s">
        <v>42</v>
      </c>
    </row>
    <row r="202" spans="1:12" x14ac:dyDescent="0.55000000000000004">
      <c r="A202">
        <v>2015</v>
      </c>
      <c r="B202" t="s">
        <v>12</v>
      </c>
      <c r="C202" t="s">
        <v>18</v>
      </c>
      <c r="D202" t="s">
        <v>20</v>
      </c>
      <c r="E202">
        <v>92.6</v>
      </c>
      <c r="F202">
        <v>76.5</v>
      </c>
      <c r="G202">
        <v>3079</v>
      </c>
      <c r="H202">
        <v>3000</v>
      </c>
      <c r="I202">
        <v>3197</v>
      </c>
      <c r="J202">
        <v>3113</v>
      </c>
      <c r="K202">
        <v>2900</v>
      </c>
      <c r="L202">
        <v>3450</v>
      </c>
    </row>
    <row r="203" spans="1:12" x14ac:dyDescent="0.55000000000000004">
      <c r="A203">
        <v>2015</v>
      </c>
      <c r="B203" t="s">
        <v>12</v>
      </c>
      <c r="C203" t="s">
        <v>18</v>
      </c>
      <c r="D203" t="s">
        <v>182</v>
      </c>
      <c r="E203" t="s">
        <v>42</v>
      </c>
      <c r="F203" t="s">
        <v>42</v>
      </c>
      <c r="G203" t="s">
        <v>42</v>
      </c>
      <c r="H203" t="s">
        <v>42</v>
      </c>
      <c r="I203" t="s">
        <v>42</v>
      </c>
      <c r="J203" t="s">
        <v>42</v>
      </c>
      <c r="K203" t="s">
        <v>42</v>
      </c>
      <c r="L203" t="s">
        <v>42</v>
      </c>
    </row>
    <row r="204" spans="1:12" x14ac:dyDescent="0.55000000000000004">
      <c r="A204">
        <v>2015</v>
      </c>
      <c r="B204" t="s">
        <v>12</v>
      </c>
      <c r="C204" t="s">
        <v>18</v>
      </c>
      <c r="D204" t="s">
        <v>183</v>
      </c>
      <c r="E204">
        <v>86.8</v>
      </c>
      <c r="F204">
        <v>80.900000000000006</v>
      </c>
      <c r="G204">
        <v>3156</v>
      </c>
      <c r="H204">
        <v>3100</v>
      </c>
      <c r="I204">
        <v>3373</v>
      </c>
      <c r="J204">
        <v>3300</v>
      </c>
      <c r="K204">
        <v>3000</v>
      </c>
      <c r="L204">
        <v>3600</v>
      </c>
    </row>
    <row r="205" spans="1:12" x14ac:dyDescent="0.55000000000000004">
      <c r="A205">
        <v>2015</v>
      </c>
      <c r="B205" t="s">
        <v>12</v>
      </c>
      <c r="C205" t="s">
        <v>18</v>
      </c>
      <c r="D205" t="s">
        <v>184</v>
      </c>
      <c r="E205" t="s">
        <v>42</v>
      </c>
      <c r="F205" t="s">
        <v>42</v>
      </c>
      <c r="G205" t="s">
        <v>42</v>
      </c>
      <c r="H205" t="s">
        <v>42</v>
      </c>
      <c r="I205" t="s">
        <v>42</v>
      </c>
      <c r="J205" t="s">
        <v>42</v>
      </c>
      <c r="K205" t="s">
        <v>42</v>
      </c>
      <c r="L205" t="s">
        <v>42</v>
      </c>
    </row>
    <row r="206" spans="1:12" x14ac:dyDescent="0.55000000000000004">
      <c r="A206">
        <v>2015</v>
      </c>
      <c r="B206" t="s">
        <v>12</v>
      </c>
      <c r="C206" t="s">
        <v>18</v>
      </c>
      <c r="D206" t="s">
        <v>22</v>
      </c>
      <c r="E206">
        <v>85.1</v>
      </c>
      <c r="F206">
        <v>83</v>
      </c>
      <c r="G206">
        <v>3489</v>
      </c>
      <c r="H206">
        <v>3350</v>
      </c>
      <c r="I206">
        <v>3577</v>
      </c>
      <c r="J206">
        <v>3500</v>
      </c>
      <c r="K206">
        <v>3200</v>
      </c>
      <c r="L206">
        <v>4000</v>
      </c>
    </row>
    <row r="207" spans="1:12" x14ac:dyDescent="0.55000000000000004">
      <c r="A207">
        <v>2015</v>
      </c>
      <c r="B207" t="s">
        <v>12</v>
      </c>
      <c r="C207" t="s">
        <v>18</v>
      </c>
      <c r="D207" t="s">
        <v>23</v>
      </c>
      <c r="E207">
        <v>95.3</v>
      </c>
      <c r="F207">
        <v>93</v>
      </c>
      <c r="G207">
        <v>3125</v>
      </c>
      <c r="H207">
        <v>3100</v>
      </c>
      <c r="I207">
        <v>3206</v>
      </c>
      <c r="J207">
        <v>3200</v>
      </c>
      <c r="K207">
        <v>3000</v>
      </c>
      <c r="L207">
        <v>3300</v>
      </c>
    </row>
    <row r="208" spans="1:12" x14ac:dyDescent="0.55000000000000004">
      <c r="A208">
        <v>2015</v>
      </c>
      <c r="B208" t="s">
        <v>12</v>
      </c>
      <c r="C208" t="s">
        <v>18</v>
      </c>
      <c r="D208" t="s">
        <v>24</v>
      </c>
      <c r="E208">
        <v>92.4</v>
      </c>
      <c r="F208">
        <v>91.4</v>
      </c>
      <c r="G208">
        <v>3489</v>
      </c>
      <c r="H208">
        <v>3300</v>
      </c>
      <c r="I208">
        <v>3535</v>
      </c>
      <c r="J208">
        <v>3300</v>
      </c>
      <c r="K208">
        <v>3150</v>
      </c>
      <c r="L208">
        <v>3800</v>
      </c>
    </row>
    <row r="209" spans="1:12" x14ac:dyDescent="0.55000000000000004">
      <c r="A209">
        <v>2015</v>
      </c>
      <c r="B209" t="s">
        <v>12</v>
      </c>
      <c r="C209" t="s">
        <v>18</v>
      </c>
      <c r="D209" t="s">
        <v>185</v>
      </c>
      <c r="E209">
        <v>88.6</v>
      </c>
      <c r="F209">
        <v>86.2</v>
      </c>
      <c r="G209">
        <v>3345</v>
      </c>
      <c r="H209">
        <v>3200</v>
      </c>
      <c r="I209">
        <v>3446</v>
      </c>
      <c r="J209">
        <v>3300</v>
      </c>
      <c r="K209">
        <v>3000</v>
      </c>
      <c r="L209">
        <v>3690</v>
      </c>
    </row>
    <row r="210" spans="1:12" x14ac:dyDescent="0.55000000000000004">
      <c r="A210">
        <v>2015</v>
      </c>
      <c r="B210" t="s">
        <v>12</v>
      </c>
      <c r="C210" t="s">
        <v>18</v>
      </c>
      <c r="D210" t="s">
        <v>26</v>
      </c>
      <c r="E210">
        <v>89.7</v>
      </c>
      <c r="F210">
        <v>82.1</v>
      </c>
      <c r="G210">
        <v>3472</v>
      </c>
      <c r="H210">
        <v>3200</v>
      </c>
      <c r="I210">
        <v>3673</v>
      </c>
      <c r="J210">
        <v>3300</v>
      </c>
      <c r="K210">
        <v>3000</v>
      </c>
      <c r="L210">
        <v>3835</v>
      </c>
    </row>
    <row r="211" spans="1:12" x14ac:dyDescent="0.55000000000000004">
      <c r="A211">
        <v>2015</v>
      </c>
      <c r="B211" t="s">
        <v>12</v>
      </c>
      <c r="C211" t="s">
        <v>18</v>
      </c>
      <c r="D211" t="s">
        <v>186</v>
      </c>
      <c r="E211" t="s">
        <v>42</v>
      </c>
      <c r="F211" t="s">
        <v>42</v>
      </c>
      <c r="G211" t="s">
        <v>42</v>
      </c>
      <c r="H211" t="s">
        <v>42</v>
      </c>
      <c r="I211" t="s">
        <v>42</v>
      </c>
      <c r="J211" t="s">
        <v>42</v>
      </c>
      <c r="K211" t="s">
        <v>42</v>
      </c>
      <c r="L211" t="s">
        <v>42</v>
      </c>
    </row>
    <row r="212" spans="1:12" x14ac:dyDescent="0.55000000000000004">
      <c r="A212">
        <v>2015</v>
      </c>
      <c r="B212" t="s">
        <v>12</v>
      </c>
      <c r="C212" t="s">
        <v>18</v>
      </c>
      <c r="D212" t="s">
        <v>187</v>
      </c>
      <c r="E212">
        <v>87.3</v>
      </c>
      <c r="F212">
        <v>80</v>
      </c>
      <c r="G212">
        <v>3271</v>
      </c>
      <c r="H212">
        <v>3200</v>
      </c>
      <c r="I212">
        <v>3375</v>
      </c>
      <c r="J212">
        <v>3275</v>
      </c>
      <c r="K212">
        <v>3000</v>
      </c>
      <c r="L212">
        <v>3500</v>
      </c>
    </row>
    <row r="213" spans="1:12" x14ac:dyDescent="0.55000000000000004">
      <c r="A213">
        <v>2015</v>
      </c>
      <c r="B213" t="s">
        <v>12</v>
      </c>
      <c r="C213" t="s">
        <v>18</v>
      </c>
      <c r="D213" t="s">
        <v>188</v>
      </c>
      <c r="E213" t="s">
        <v>42</v>
      </c>
      <c r="F213" t="s">
        <v>42</v>
      </c>
      <c r="G213" t="s">
        <v>42</v>
      </c>
      <c r="H213" t="s">
        <v>42</v>
      </c>
      <c r="I213" t="s">
        <v>42</v>
      </c>
      <c r="J213" t="s">
        <v>42</v>
      </c>
      <c r="K213" t="s">
        <v>42</v>
      </c>
      <c r="L213" t="s">
        <v>42</v>
      </c>
    </row>
    <row r="214" spans="1:12" x14ac:dyDescent="0.55000000000000004">
      <c r="A214">
        <v>2015</v>
      </c>
      <c r="B214" t="s">
        <v>12</v>
      </c>
      <c r="C214" t="s">
        <v>18</v>
      </c>
      <c r="D214" t="s">
        <v>28</v>
      </c>
      <c r="E214">
        <v>82.9</v>
      </c>
      <c r="F214">
        <v>76.8</v>
      </c>
      <c r="G214">
        <v>3213</v>
      </c>
      <c r="H214">
        <v>3100</v>
      </c>
      <c r="I214">
        <v>3397</v>
      </c>
      <c r="J214">
        <v>3200</v>
      </c>
      <c r="K214">
        <v>3000</v>
      </c>
      <c r="L214">
        <v>3600</v>
      </c>
    </row>
    <row r="215" spans="1:12" x14ac:dyDescent="0.55000000000000004">
      <c r="A215">
        <v>2015</v>
      </c>
      <c r="B215" t="s">
        <v>12</v>
      </c>
      <c r="C215" t="s">
        <v>18</v>
      </c>
      <c r="D215" t="s">
        <v>29</v>
      </c>
      <c r="E215">
        <v>88</v>
      </c>
      <c r="F215">
        <v>80.7</v>
      </c>
      <c r="G215">
        <v>3248</v>
      </c>
      <c r="H215">
        <v>3200</v>
      </c>
      <c r="I215">
        <v>3388</v>
      </c>
      <c r="J215">
        <v>3250</v>
      </c>
      <c r="K215">
        <v>3000</v>
      </c>
      <c r="L215">
        <v>3600</v>
      </c>
    </row>
    <row r="216" spans="1:12" x14ac:dyDescent="0.55000000000000004">
      <c r="A216">
        <v>2015</v>
      </c>
      <c r="B216" t="s">
        <v>12</v>
      </c>
      <c r="C216" t="s">
        <v>18</v>
      </c>
      <c r="D216" t="s">
        <v>189</v>
      </c>
      <c r="E216" t="s">
        <v>42</v>
      </c>
      <c r="F216" t="s">
        <v>42</v>
      </c>
      <c r="G216" t="s">
        <v>42</v>
      </c>
      <c r="H216" t="s">
        <v>42</v>
      </c>
      <c r="I216" t="s">
        <v>42</v>
      </c>
      <c r="J216" t="s">
        <v>42</v>
      </c>
      <c r="K216" t="s">
        <v>42</v>
      </c>
      <c r="L216" t="s">
        <v>42</v>
      </c>
    </row>
    <row r="217" spans="1:12" x14ac:dyDescent="0.55000000000000004">
      <c r="A217">
        <v>2015</v>
      </c>
      <c r="B217" t="s">
        <v>12</v>
      </c>
      <c r="C217" t="s">
        <v>18</v>
      </c>
      <c r="D217" t="s">
        <v>30</v>
      </c>
      <c r="E217">
        <v>95</v>
      </c>
      <c r="F217">
        <v>95</v>
      </c>
      <c r="G217">
        <v>3249</v>
      </c>
      <c r="H217">
        <v>3200</v>
      </c>
      <c r="I217">
        <v>3271</v>
      </c>
      <c r="J217">
        <v>3200</v>
      </c>
      <c r="K217">
        <v>3000</v>
      </c>
      <c r="L217">
        <v>3300</v>
      </c>
    </row>
    <row r="218" spans="1:12" x14ac:dyDescent="0.55000000000000004">
      <c r="A218">
        <v>2015</v>
      </c>
      <c r="B218" t="s">
        <v>12</v>
      </c>
      <c r="C218" t="s">
        <v>31</v>
      </c>
      <c r="D218" t="s">
        <v>32</v>
      </c>
      <c r="E218">
        <v>79.3</v>
      </c>
      <c r="F218">
        <v>56.9</v>
      </c>
      <c r="G218">
        <v>3284</v>
      </c>
      <c r="H218">
        <v>2800</v>
      </c>
      <c r="I218">
        <v>3457</v>
      </c>
      <c r="J218">
        <v>2800</v>
      </c>
      <c r="K218">
        <v>2200</v>
      </c>
      <c r="L218">
        <v>3000</v>
      </c>
    </row>
    <row r="219" spans="1:12" x14ac:dyDescent="0.55000000000000004">
      <c r="A219">
        <v>2015</v>
      </c>
      <c r="B219" t="s">
        <v>12</v>
      </c>
      <c r="C219" t="s">
        <v>31</v>
      </c>
      <c r="D219" t="s">
        <v>33</v>
      </c>
      <c r="E219">
        <v>81.8</v>
      </c>
      <c r="F219">
        <v>76.599999999999994</v>
      </c>
      <c r="G219">
        <v>2978</v>
      </c>
      <c r="H219">
        <v>3000</v>
      </c>
      <c r="I219">
        <v>3045</v>
      </c>
      <c r="J219">
        <v>3200</v>
      </c>
      <c r="K219">
        <v>2800</v>
      </c>
      <c r="L219">
        <v>3500</v>
      </c>
    </row>
    <row r="220" spans="1:12" x14ac:dyDescent="0.55000000000000004">
      <c r="A220">
        <v>2015</v>
      </c>
      <c r="B220" t="s">
        <v>12</v>
      </c>
      <c r="C220" t="s">
        <v>31</v>
      </c>
      <c r="D220" t="s">
        <v>34</v>
      </c>
      <c r="E220">
        <v>85.1</v>
      </c>
      <c r="F220">
        <v>74.400000000000006</v>
      </c>
      <c r="G220">
        <v>2921</v>
      </c>
      <c r="H220">
        <v>2900</v>
      </c>
      <c r="I220">
        <v>3008</v>
      </c>
      <c r="J220">
        <v>3000</v>
      </c>
      <c r="K220">
        <v>2600</v>
      </c>
      <c r="L220">
        <v>3330</v>
      </c>
    </row>
    <row r="221" spans="1:12" x14ac:dyDescent="0.55000000000000004">
      <c r="A221">
        <v>2015</v>
      </c>
      <c r="B221" t="s">
        <v>12</v>
      </c>
      <c r="C221" t="s">
        <v>31</v>
      </c>
      <c r="D221" t="s">
        <v>35</v>
      </c>
      <c r="E221">
        <v>87.4</v>
      </c>
      <c r="F221">
        <v>75.900000000000006</v>
      </c>
      <c r="G221">
        <v>3322</v>
      </c>
      <c r="H221">
        <v>3200</v>
      </c>
      <c r="I221">
        <v>3496</v>
      </c>
      <c r="J221">
        <v>3300</v>
      </c>
      <c r="K221">
        <v>3000</v>
      </c>
      <c r="L221">
        <v>3800</v>
      </c>
    </row>
    <row r="222" spans="1:12" x14ac:dyDescent="0.55000000000000004">
      <c r="A222">
        <v>2015</v>
      </c>
      <c r="B222" t="s">
        <v>12</v>
      </c>
      <c r="C222" t="s">
        <v>31</v>
      </c>
      <c r="D222" t="s">
        <v>36</v>
      </c>
      <c r="E222">
        <v>88</v>
      </c>
      <c r="F222">
        <v>74</v>
      </c>
      <c r="G222">
        <v>3238</v>
      </c>
      <c r="H222">
        <v>3000</v>
      </c>
      <c r="I222">
        <v>3322</v>
      </c>
      <c r="J222">
        <v>3314</v>
      </c>
      <c r="K222">
        <v>2604</v>
      </c>
      <c r="L222">
        <v>3743</v>
      </c>
    </row>
    <row r="223" spans="1:12" x14ac:dyDescent="0.55000000000000004">
      <c r="A223">
        <v>2015</v>
      </c>
      <c r="B223" t="s">
        <v>12</v>
      </c>
      <c r="C223" t="s">
        <v>31</v>
      </c>
      <c r="D223" t="s">
        <v>190</v>
      </c>
      <c r="E223">
        <v>88.4</v>
      </c>
      <c r="F223">
        <v>55.8</v>
      </c>
      <c r="G223">
        <v>3475</v>
      </c>
      <c r="H223">
        <v>3000</v>
      </c>
      <c r="I223">
        <v>3753</v>
      </c>
      <c r="J223">
        <v>3000</v>
      </c>
      <c r="K223">
        <v>2800</v>
      </c>
      <c r="L223">
        <v>3600</v>
      </c>
    </row>
    <row r="224" spans="1:12" x14ac:dyDescent="0.55000000000000004">
      <c r="A224">
        <v>2015</v>
      </c>
      <c r="B224" t="s">
        <v>12</v>
      </c>
      <c r="C224" t="s">
        <v>31</v>
      </c>
      <c r="D224" t="s">
        <v>38</v>
      </c>
      <c r="E224">
        <v>73.3</v>
      </c>
      <c r="F224">
        <v>52</v>
      </c>
      <c r="G224">
        <v>3099</v>
      </c>
      <c r="H224">
        <v>3121</v>
      </c>
      <c r="I224">
        <v>3264</v>
      </c>
      <c r="J224">
        <v>3200</v>
      </c>
      <c r="K224">
        <v>2800</v>
      </c>
      <c r="L224">
        <v>3562</v>
      </c>
    </row>
    <row r="225" spans="1:12" x14ac:dyDescent="0.55000000000000004">
      <c r="A225">
        <v>2015</v>
      </c>
      <c r="B225" t="s">
        <v>12</v>
      </c>
      <c r="C225" t="s">
        <v>31</v>
      </c>
      <c r="D225" t="s">
        <v>39</v>
      </c>
      <c r="E225">
        <v>85.7</v>
      </c>
      <c r="F225">
        <v>79.400000000000006</v>
      </c>
      <c r="G225">
        <v>3260</v>
      </c>
      <c r="H225">
        <v>3000</v>
      </c>
      <c r="I225">
        <v>3402</v>
      </c>
      <c r="J225">
        <v>3125</v>
      </c>
      <c r="K225">
        <v>2700</v>
      </c>
      <c r="L225">
        <v>3600</v>
      </c>
    </row>
    <row r="226" spans="1:12" x14ac:dyDescent="0.55000000000000004">
      <c r="A226">
        <v>2015</v>
      </c>
      <c r="B226" t="s">
        <v>12</v>
      </c>
      <c r="C226" t="s">
        <v>40</v>
      </c>
      <c r="D226" t="s">
        <v>123</v>
      </c>
      <c r="E226">
        <v>100</v>
      </c>
      <c r="F226">
        <v>100</v>
      </c>
      <c r="G226">
        <v>2832</v>
      </c>
      <c r="H226">
        <v>2800</v>
      </c>
      <c r="I226">
        <v>2882</v>
      </c>
      <c r="J226">
        <v>2800</v>
      </c>
      <c r="K226">
        <v>2500</v>
      </c>
      <c r="L226">
        <v>3105</v>
      </c>
    </row>
    <row r="227" spans="1:12" x14ac:dyDescent="0.55000000000000004">
      <c r="A227">
        <v>2015</v>
      </c>
      <c r="B227" t="s">
        <v>12</v>
      </c>
      <c r="C227" t="s">
        <v>40</v>
      </c>
      <c r="D227" t="s">
        <v>44</v>
      </c>
      <c r="E227">
        <v>74.599999999999994</v>
      </c>
      <c r="F227">
        <v>65.3</v>
      </c>
      <c r="G227">
        <v>3117</v>
      </c>
      <c r="H227">
        <v>3000</v>
      </c>
      <c r="I227">
        <v>3229</v>
      </c>
      <c r="J227">
        <v>3190</v>
      </c>
      <c r="K227">
        <v>2875</v>
      </c>
      <c r="L227">
        <v>3600</v>
      </c>
    </row>
    <row r="228" spans="1:12" x14ac:dyDescent="0.55000000000000004">
      <c r="A228">
        <v>2015</v>
      </c>
      <c r="B228" t="s">
        <v>12</v>
      </c>
      <c r="C228" t="s">
        <v>40</v>
      </c>
      <c r="D228" t="s">
        <v>45</v>
      </c>
      <c r="E228">
        <v>83.9</v>
      </c>
      <c r="F228">
        <v>72.3</v>
      </c>
      <c r="G228">
        <v>2960</v>
      </c>
      <c r="H228">
        <v>2900</v>
      </c>
      <c r="I228">
        <v>3139</v>
      </c>
      <c r="J228">
        <v>3000</v>
      </c>
      <c r="K228">
        <v>2800</v>
      </c>
      <c r="L228">
        <v>3500</v>
      </c>
    </row>
    <row r="229" spans="1:12" x14ac:dyDescent="0.55000000000000004">
      <c r="A229">
        <v>2015</v>
      </c>
      <c r="B229" t="s">
        <v>12</v>
      </c>
      <c r="C229" t="s">
        <v>40</v>
      </c>
      <c r="D229" t="s">
        <v>124</v>
      </c>
      <c r="E229">
        <v>95.3</v>
      </c>
      <c r="F229">
        <v>84.4</v>
      </c>
      <c r="G229">
        <v>3291</v>
      </c>
      <c r="H229">
        <v>3000</v>
      </c>
      <c r="I229">
        <v>3440</v>
      </c>
      <c r="J229">
        <v>3205</v>
      </c>
      <c r="K229">
        <v>2925</v>
      </c>
      <c r="L229">
        <v>3500</v>
      </c>
    </row>
    <row r="230" spans="1:12" x14ac:dyDescent="0.55000000000000004">
      <c r="A230">
        <v>2015</v>
      </c>
      <c r="B230" t="s">
        <v>12</v>
      </c>
      <c r="C230" t="s">
        <v>40</v>
      </c>
      <c r="D230" t="s">
        <v>47</v>
      </c>
      <c r="E230">
        <v>81.8</v>
      </c>
      <c r="F230">
        <v>72.7</v>
      </c>
      <c r="G230">
        <v>3254</v>
      </c>
      <c r="H230">
        <v>3125</v>
      </c>
      <c r="I230">
        <v>3402</v>
      </c>
      <c r="J230">
        <v>3240</v>
      </c>
      <c r="K230">
        <v>2950</v>
      </c>
      <c r="L230">
        <v>3500</v>
      </c>
    </row>
    <row r="231" spans="1:12" x14ac:dyDescent="0.55000000000000004">
      <c r="A231">
        <v>2015</v>
      </c>
      <c r="B231" t="s">
        <v>12</v>
      </c>
      <c r="C231" t="s">
        <v>40</v>
      </c>
      <c r="D231" t="s">
        <v>48</v>
      </c>
      <c r="E231">
        <v>82.1</v>
      </c>
      <c r="F231">
        <v>69.599999999999994</v>
      </c>
      <c r="G231">
        <v>3098</v>
      </c>
      <c r="H231">
        <v>3000</v>
      </c>
      <c r="I231">
        <v>3186</v>
      </c>
      <c r="J231">
        <v>3200</v>
      </c>
      <c r="K231">
        <v>2900</v>
      </c>
      <c r="L231">
        <v>3400</v>
      </c>
    </row>
    <row r="232" spans="1:12" x14ac:dyDescent="0.55000000000000004">
      <c r="A232">
        <v>2015</v>
      </c>
      <c r="B232" t="s">
        <v>12</v>
      </c>
      <c r="C232" t="s">
        <v>40</v>
      </c>
      <c r="D232" t="s">
        <v>49</v>
      </c>
      <c r="E232">
        <v>90.7</v>
      </c>
      <c r="F232">
        <v>72.099999999999994</v>
      </c>
      <c r="G232">
        <v>3232</v>
      </c>
      <c r="H232">
        <v>3000</v>
      </c>
      <c r="I232">
        <v>3307</v>
      </c>
      <c r="J232">
        <v>3295</v>
      </c>
      <c r="K232">
        <v>2900</v>
      </c>
      <c r="L232">
        <v>3600</v>
      </c>
    </row>
    <row r="233" spans="1:12" x14ac:dyDescent="0.55000000000000004">
      <c r="A233">
        <v>2015</v>
      </c>
      <c r="B233" t="s">
        <v>12</v>
      </c>
      <c r="C233" t="s">
        <v>50</v>
      </c>
      <c r="D233" t="s">
        <v>51</v>
      </c>
      <c r="E233">
        <v>100</v>
      </c>
      <c r="F233">
        <v>100</v>
      </c>
      <c r="G233">
        <v>3496</v>
      </c>
      <c r="H233">
        <v>3500</v>
      </c>
      <c r="I233">
        <v>3604</v>
      </c>
      <c r="J233">
        <v>3504</v>
      </c>
      <c r="K233">
        <v>3500</v>
      </c>
      <c r="L233">
        <v>3855</v>
      </c>
    </row>
    <row r="234" spans="1:12" x14ac:dyDescent="0.55000000000000004">
      <c r="A234">
        <v>2015</v>
      </c>
      <c r="B234" t="s">
        <v>12</v>
      </c>
      <c r="C234" t="s">
        <v>50</v>
      </c>
      <c r="D234" t="s">
        <v>52</v>
      </c>
      <c r="E234">
        <v>100</v>
      </c>
      <c r="F234">
        <v>100</v>
      </c>
      <c r="G234">
        <v>3551</v>
      </c>
      <c r="H234">
        <v>3500</v>
      </c>
      <c r="I234">
        <v>3622</v>
      </c>
      <c r="J234">
        <v>3500</v>
      </c>
      <c r="K234">
        <v>3500</v>
      </c>
      <c r="L234">
        <v>3605</v>
      </c>
    </row>
    <row r="235" spans="1:12" x14ac:dyDescent="0.55000000000000004">
      <c r="A235">
        <v>2015</v>
      </c>
      <c r="B235" t="s">
        <v>53</v>
      </c>
      <c r="C235" t="s">
        <v>54</v>
      </c>
      <c r="D235" t="s">
        <v>55</v>
      </c>
      <c r="E235">
        <v>88.4</v>
      </c>
      <c r="F235">
        <v>74.599999999999994</v>
      </c>
      <c r="G235">
        <v>2839</v>
      </c>
      <c r="H235">
        <v>2880</v>
      </c>
      <c r="I235">
        <v>2999</v>
      </c>
      <c r="J235">
        <v>3000</v>
      </c>
      <c r="K235">
        <v>2700</v>
      </c>
      <c r="L235">
        <v>3215</v>
      </c>
    </row>
    <row r="236" spans="1:12" x14ac:dyDescent="0.55000000000000004">
      <c r="A236">
        <v>2015</v>
      </c>
      <c r="B236" t="s">
        <v>53</v>
      </c>
      <c r="C236" t="s">
        <v>54</v>
      </c>
      <c r="D236" t="s">
        <v>56</v>
      </c>
      <c r="E236">
        <v>83</v>
      </c>
      <c r="F236">
        <v>70.5</v>
      </c>
      <c r="G236">
        <v>3266</v>
      </c>
      <c r="H236">
        <v>3310</v>
      </c>
      <c r="I236">
        <v>3310</v>
      </c>
      <c r="J236">
        <v>3310</v>
      </c>
      <c r="K236">
        <v>3000</v>
      </c>
      <c r="L236">
        <v>3625</v>
      </c>
    </row>
    <row r="237" spans="1:12" x14ac:dyDescent="0.55000000000000004">
      <c r="A237">
        <v>2015</v>
      </c>
      <c r="B237" t="s">
        <v>53</v>
      </c>
      <c r="C237" t="s">
        <v>54</v>
      </c>
      <c r="D237" t="s">
        <v>57</v>
      </c>
      <c r="E237">
        <v>88.6</v>
      </c>
      <c r="F237">
        <v>79.8</v>
      </c>
      <c r="G237">
        <v>3317</v>
      </c>
      <c r="H237">
        <v>3300</v>
      </c>
      <c r="I237">
        <v>3442</v>
      </c>
      <c r="J237">
        <v>3310</v>
      </c>
      <c r="K237">
        <v>3000</v>
      </c>
      <c r="L237">
        <v>3686</v>
      </c>
    </row>
    <row r="238" spans="1:12" x14ac:dyDescent="0.55000000000000004">
      <c r="A238">
        <v>2015</v>
      </c>
      <c r="B238" t="s">
        <v>53</v>
      </c>
      <c r="C238" t="s">
        <v>58</v>
      </c>
      <c r="D238" t="s">
        <v>59</v>
      </c>
      <c r="E238">
        <v>88.2</v>
      </c>
      <c r="F238">
        <v>80.3</v>
      </c>
      <c r="G238">
        <v>3164</v>
      </c>
      <c r="H238">
        <v>3000</v>
      </c>
      <c r="I238">
        <v>3341</v>
      </c>
      <c r="J238">
        <v>3000</v>
      </c>
      <c r="K238">
        <v>2800</v>
      </c>
      <c r="L238">
        <v>3700</v>
      </c>
    </row>
    <row r="239" spans="1:12" x14ac:dyDescent="0.55000000000000004">
      <c r="A239">
        <v>2015</v>
      </c>
      <c r="B239" t="s">
        <v>53</v>
      </c>
      <c r="C239" t="s">
        <v>58</v>
      </c>
      <c r="D239" t="s">
        <v>60</v>
      </c>
      <c r="E239">
        <v>96</v>
      </c>
      <c r="F239">
        <v>93.1</v>
      </c>
      <c r="G239">
        <v>4173</v>
      </c>
      <c r="H239">
        <v>3750</v>
      </c>
      <c r="I239">
        <v>4326</v>
      </c>
      <c r="J239">
        <v>3800</v>
      </c>
      <c r="K239">
        <v>3300</v>
      </c>
      <c r="L239">
        <v>4600</v>
      </c>
    </row>
    <row r="240" spans="1:12" x14ac:dyDescent="0.55000000000000004">
      <c r="A240">
        <v>2015</v>
      </c>
      <c r="B240" t="s">
        <v>53</v>
      </c>
      <c r="C240" t="s">
        <v>58</v>
      </c>
      <c r="D240" t="s">
        <v>61</v>
      </c>
      <c r="E240">
        <v>97.6</v>
      </c>
      <c r="F240">
        <v>97.6</v>
      </c>
      <c r="G240">
        <v>2817</v>
      </c>
      <c r="H240">
        <v>2850</v>
      </c>
      <c r="I240">
        <v>2983</v>
      </c>
      <c r="J240">
        <v>2850</v>
      </c>
      <c r="K240">
        <v>2700</v>
      </c>
      <c r="L240">
        <v>2960</v>
      </c>
    </row>
    <row r="241" spans="1:12" x14ac:dyDescent="0.55000000000000004">
      <c r="A241">
        <v>2015</v>
      </c>
      <c r="B241" t="s">
        <v>53</v>
      </c>
      <c r="C241" t="s">
        <v>58</v>
      </c>
      <c r="D241" t="s">
        <v>62</v>
      </c>
      <c r="E241">
        <v>98.6</v>
      </c>
      <c r="F241">
        <v>98.6</v>
      </c>
      <c r="G241">
        <v>3547</v>
      </c>
      <c r="H241">
        <v>3000</v>
      </c>
      <c r="I241">
        <v>3587</v>
      </c>
      <c r="J241">
        <v>3000</v>
      </c>
      <c r="K241">
        <v>2850</v>
      </c>
      <c r="L241">
        <v>3634</v>
      </c>
    </row>
    <row r="242" spans="1:12" x14ac:dyDescent="0.55000000000000004">
      <c r="A242">
        <v>2015</v>
      </c>
      <c r="B242" t="s">
        <v>53</v>
      </c>
      <c r="C242" t="s">
        <v>63</v>
      </c>
      <c r="D242" t="s">
        <v>64</v>
      </c>
      <c r="E242">
        <v>92.6</v>
      </c>
      <c r="F242">
        <v>85.2</v>
      </c>
      <c r="G242">
        <v>3230</v>
      </c>
      <c r="H242">
        <v>3500</v>
      </c>
      <c r="I242">
        <v>3291</v>
      </c>
      <c r="J242">
        <v>3500</v>
      </c>
      <c r="K242">
        <v>2800</v>
      </c>
      <c r="L242">
        <v>3800</v>
      </c>
    </row>
    <row r="243" spans="1:12" x14ac:dyDescent="0.55000000000000004">
      <c r="A243">
        <v>2015</v>
      </c>
      <c r="B243" t="s">
        <v>53</v>
      </c>
      <c r="C243" t="s">
        <v>63</v>
      </c>
      <c r="D243" t="s">
        <v>65</v>
      </c>
      <c r="E243" t="s">
        <v>42</v>
      </c>
      <c r="F243" t="s">
        <v>42</v>
      </c>
      <c r="G243" t="s">
        <v>42</v>
      </c>
      <c r="H243" t="s">
        <v>42</v>
      </c>
      <c r="I243" t="s">
        <v>42</v>
      </c>
      <c r="J243" t="s">
        <v>42</v>
      </c>
      <c r="K243" t="s">
        <v>42</v>
      </c>
      <c r="L243" t="s">
        <v>42</v>
      </c>
    </row>
    <row r="244" spans="1:12" x14ac:dyDescent="0.55000000000000004">
      <c r="A244">
        <v>2015</v>
      </c>
      <c r="B244" t="s">
        <v>53</v>
      </c>
      <c r="C244" t="s">
        <v>63</v>
      </c>
      <c r="D244" t="s">
        <v>66</v>
      </c>
      <c r="E244" t="s">
        <v>42</v>
      </c>
      <c r="F244" t="s">
        <v>42</v>
      </c>
      <c r="G244" t="s">
        <v>42</v>
      </c>
      <c r="H244" t="s">
        <v>42</v>
      </c>
      <c r="I244" t="s">
        <v>42</v>
      </c>
      <c r="J244" t="s">
        <v>42</v>
      </c>
      <c r="K244" t="s">
        <v>42</v>
      </c>
      <c r="L244" t="s">
        <v>42</v>
      </c>
    </row>
    <row r="245" spans="1:12" x14ac:dyDescent="0.55000000000000004">
      <c r="A245">
        <v>2015</v>
      </c>
      <c r="B245" t="s">
        <v>53</v>
      </c>
      <c r="C245" t="s">
        <v>63</v>
      </c>
      <c r="D245" t="s">
        <v>67</v>
      </c>
      <c r="E245">
        <v>97</v>
      </c>
      <c r="F245">
        <v>95</v>
      </c>
      <c r="G245">
        <v>3847</v>
      </c>
      <c r="H245">
        <v>3700</v>
      </c>
      <c r="I245">
        <v>3890</v>
      </c>
      <c r="J245">
        <v>3700</v>
      </c>
      <c r="K245">
        <v>3300</v>
      </c>
      <c r="L245">
        <v>4400</v>
      </c>
    </row>
    <row r="246" spans="1:12" x14ac:dyDescent="0.55000000000000004">
      <c r="A246">
        <v>2015</v>
      </c>
      <c r="B246" t="s">
        <v>53</v>
      </c>
      <c r="C246" t="s">
        <v>63</v>
      </c>
      <c r="D246" t="s">
        <v>68</v>
      </c>
      <c r="E246">
        <v>90.3</v>
      </c>
      <c r="F246">
        <v>87.1</v>
      </c>
      <c r="G246">
        <v>3255</v>
      </c>
      <c r="H246">
        <v>3300</v>
      </c>
      <c r="I246">
        <v>3301</v>
      </c>
      <c r="J246">
        <v>3300</v>
      </c>
      <c r="K246">
        <v>3000</v>
      </c>
      <c r="L246">
        <v>3500</v>
      </c>
    </row>
    <row r="247" spans="1:12" x14ac:dyDescent="0.55000000000000004">
      <c r="A247">
        <v>2015</v>
      </c>
      <c r="B247" t="s">
        <v>53</v>
      </c>
      <c r="C247" t="s">
        <v>63</v>
      </c>
      <c r="D247" t="s">
        <v>69</v>
      </c>
      <c r="E247">
        <v>97.2</v>
      </c>
      <c r="F247">
        <v>97.2</v>
      </c>
      <c r="G247">
        <v>3597</v>
      </c>
      <c r="H247">
        <v>3500</v>
      </c>
      <c r="I247">
        <v>3699</v>
      </c>
      <c r="J247">
        <v>3550</v>
      </c>
      <c r="K247">
        <v>3200</v>
      </c>
      <c r="L247">
        <v>4100</v>
      </c>
    </row>
    <row r="248" spans="1:12" x14ac:dyDescent="0.55000000000000004">
      <c r="A248">
        <v>2015</v>
      </c>
      <c r="B248" t="s">
        <v>53</v>
      </c>
      <c r="C248" t="s">
        <v>70</v>
      </c>
      <c r="D248" t="s">
        <v>71</v>
      </c>
      <c r="E248">
        <v>100</v>
      </c>
      <c r="F248">
        <v>100</v>
      </c>
      <c r="G248">
        <v>4053</v>
      </c>
      <c r="H248">
        <v>4000</v>
      </c>
      <c r="I248">
        <v>4083</v>
      </c>
      <c r="J248">
        <v>4000</v>
      </c>
      <c r="K248">
        <v>4000</v>
      </c>
      <c r="L248">
        <v>4400</v>
      </c>
    </row>
    <row r="249" spans="1:12" x14ac:dyDescent="0.55000000000000004">
      <c r="A249">
        <v>2015</v>
      </c>
      <c r="B249" t="s">
        <v>53</v>
      </c>
      <c r="C249" t="s">
        <v>72</v>
      </c>
      <c r="D249" t="s">
        <v>125</v>
      </c>
      <c r="E249">
        <v>97.6</v>
      </c>
      <c r="F249">
        <v>96.4</v>
      </c>
      <c r="G249">
        <v>4054</v>
      </c>
      <c r="H249">
        <v>4114</v>
      </c>
      <c r="I249">
        <v>4099</v>
      </c>
      <c r="J249">
        <v>4127</v>
      </c>
      <c r="K249">
        <v>3700</v>
      </c>
      <c r="L249">
        <v>4500</v>
      </c>
    </row>
    <row r="250" spans="1:12" x14ac:dyDescent="0.55000000000000004">
      <c r="A250">
        <v>2015</v>
      </c>
      <c r="B250" t="s">
        <v>53</v>
      </c>
      <c r="C250" t="s">
        <v>72</v>
      </c>
      <c r="D250" t="s">
        <v>74</v>
      </c>
      <c r="E250">
        <v>72</v>
      </c>
      <c r="F250">
        <v>60</v>
      </c>
      <c r="G250">
        <v>2907</v>
      </c>
      <c r="H250">
        <v>3000</v>
      </c>
      <c r="I250">
        <v>2908</v>
      </c>
      <c r="J250">
        <v>3000</v>
      </c>
      <c r="K250">
        <v>2700</v>
      </c>
      <c r="L250">
        <v>3200</v>
      </c>
    </row>
    <row r="251" spans="1:12" x14ac:dyDescent="0.55000000000000004">
      <c r="A251">
        <v>2015</v>
      </c>
      <c r="B251" t="s">
        <v>53</v>
      </c>
      <c r="C251" t="s">
        <v>72</v>
      </c>
      <c r="D251" t="s">
        <v>75</v>
      </c>
      <c r="E251">
        <v>94.3</v>
      </c>
      <c r="F251">
        <v>90.8</v>
      </c>
      <c r="G251">
        <v>2989</v>
      </c>
      <c r="H251">
        <v>3000</v>
      </c>
      <c r="I251">
        <v>3067</v>
      </c>
      <c r="J251">
        <v>3000</v>
      </c>
      <c r="K251">
        <v>2800</v>
      </c>
      <c r="L251">
        <v>3215</v>
      </c>
    </row>
    <row r="252" spans="1:12" x14ac:dyDescent="0.55000000000000004">
      <c r="A252">
        <v>2015</v>
      </c>
      <c r="B252" t="s">
        <v>53</v>
      </c>
      <c r="C252" t="s">
        <v>72</v>
      </c>
      <c r="D252" t="s">
        <v>76</v>
      </c>
      <c r="E252">
        <v>93.9</v>
      </c>
      <c r="F252">
        <v>89.6</v>
      </c>
      <c r="G252">
        <v>3146</v>
      </c>
      <c r="H252">
        <v>3000</v>
      </c>
      <c r="I252">
        <v>3325</v>
      </c>
      <c r="J252">
        <v>3100</v>
      </c>
      <c r="K252">
        <v>2810</v>
      </c>
      <c r="L252">
        <v>3500</v>
      </c>
    </row>
    <row r="253" spans="1:12" x14ac:dyDescent="0.55000000000000004">
      <c r="A253">
        <v>2015</v>
      </c>
      <c r="B253" t="s">
        <v>53</v>
      </c>
      <c r="C253" t="s">
        <v>77</v>
      </c>
      <c r="D253" t="s">
        <v>191</v>
      </c>
      <c r="E253">
        <v>86.2</v>
      </c>
      <c r="F253">
        <v>75.900000000000006</v>
      </c>
      <c r="G253">
        <v>3256</v>
      </c>
      <c r="H253">
        <v>3200</v>
      </c>
      <c r="I253">
        <v>3357</v>
      </c>
      <c r="J253">
        <v>3300</v>
      </c>
      <c r="K253">
        <v>3000</v>
      </c>
      <c r="L253">
        <v>3500</v>
      </c>
    </row>
    <row r="254" spans="1:12" x14ac:dyDescent="0.55000000000000004">
      <c r="A254">
        <v>2015</v>
      </c>
      <c r="B254" t="s">
        <v>53</v>
      </c>
      <c r="C254" t="s">
        <v>77</v>
      </c>
      <c r="D254" t="s">
        <v>79</v>
      </c>
      <c r="E254">
        <v>86</v>
      </c>
      <c r="F254">
        <v>82.9</v>
      </c>
      <c r="G254">
        <v>3400</v>
      </c>
      <c r="H254">
        <v>3300</v>
      </c>
      <c r="I254">
        <v>3529</v>
      </c>
      <c r="J254">
        <v>3500</v>
      </c>
      <c r="K254">
        <v>3000</v>
      </c>
      <c r="L254">
        <v>4000</v>
      </c>
    </row>
    <row r="255" spans="1:12" x14ac:dyDescent="0.55000000000000004">
      <c r="A255">
        <v>2015</v>
      </c>
      <c r="B255" t="s">
        <v>53</v>
      </c>
      <c r="C255" t="s">
        <v>77</v>
      </c>
      <c r="D255" t="s">
        <v>80</v>
      </c>
      <c r="E255">
        <v>96.5</v>
      </c>
      <c r="F255">
        <v>95.3</v>
      </c>
      <c r="G255">
        <v>3300</v>
      </c>
      <c r="H255">
        <v>3300</v>
      </c>
      <c r="I255">
        <v>3366</v>
      </c>
      <c r="J255">
        <v>3350</v>
      </c>
      <c r="K255">
        <v>3200</v>
      </c>
      <c r="L255">
        <v>3500</v>
      </c>
    </row>
    <row r="256" spans="1:12" x14ac:dyDescent="0.55000000000000004">
      <c r="A256">
        <v>2015</v>
      </c>
      <c r="B256" t="s">
        <v>53</v>
      </c>
      <c r="C256" t="s">
        <v>77</v>
      </c>
      <c r="D256" t="s">
        <v>81</v>
      </c>
      <c r="E256">
        <v>91.8</v>
      </c>
      <c r="F256">
        <v>90.6</v>
      </c>
      <c r="G256">
        <v>4119</v>
      </c>
      <c r="H256">
        <v>4000</v>
      </c>
      <c r="I256">
        <v>4252</v>
      </c>
      <c r="J256">
        <v>4000</v>
      </c>
      <c r="K256">
        <v>3325</v>
      </c>
      <c r="L256">
        <v>4583</v>
      </c>
    </row>
    <row r="257" spans="1:12" x14ac:dyDescent="0.55000000000000004">
      <c r="A257">
        <v>2015</v>
      </c>
      <c r="B257" t="s">
        <v>53</v>
      </c>
      <c r="C257" t="s">
        <v>77</v>
      </c>
      <c r="D257" t="s">
        <v>82</v>
      </c>
      <c r="E257">
        <v>92.1</v>
      </c>
      <c r="F257">
        <v>90.4</v>
      </c>
      <c r="G257">
        <v>3452</v>
      </c>
      <c r="H257">
        <v>3200</v>
      </c>
      <c r="I257">
        <v>3589</v>
      </c>
      <c r="J257">
        <v>3300</v>
      </c>
      <c r="K257">
        <v>3000</v>
      </c>
      <c r="L257">
        <v>3700</v>
      </c>
    </row>
    <row r="258" spans="1:12" x14ac:dyDescent="0.55000000000000004">
      <c r="A258">
        <v>2015</v>
      </c>
      <c r="B258" t="s">
        <v>53</v>
      </c>
      <c r="C258" t="s">
        <v>77</v>
      </c>
      <c r="D258" t="s">
        <v>83</v>
      </c>
      <c r="E258">
        <v>82.6</v>
      </c>
      <c r="F258">
        <v>73.900000000000006</v>
      </c>
      <c r="G258">
        <v>3768</v>
      </c>
      <c r="H258">
        <v>3735</v>
      </c>
      <c r="I258">
        <v>3812</v>
      </c>
      <c r="J258">
        <v>3800</v>
      </c>
      <c r="K258">
        <v>3500</v>
      </c>
      <c r="L258">
        <v>4420</v>
      </c>
    </row>
    <row r="259" spans="1:12" x14ac:dyDescent="0.55000000000000004">
      <c r="A259">
        <v>2015</v>
      </c>
      <c r="B259" t="s">
        <v>53</v>
      </c>
      <c r="C259" t="s">
        <v>77</v>
      </c>
      <c r="D259" t="s">
        <v>84</v>
      </c>
      <c r="E259">
        <v>88.1</v>
      </c>
      <c r="F259">
        <v>85.7</v>
      </c>
      <c r="G259">
        <v>3318</v>
      </c>
      <c r="H259">
        <v>3430</v>
      </c>
      <c r="I259">
        <v>3337</v>
      </c>
      <c r="J259">
        <v>3450</v>
      </c>
      <c r="K259">
        <v>3000</v>
      </c>
      <c r="L259">
        <v>3670</v>
      </c>
    </row>
    <row r="260" spans="1:12" x14ac:dyDescent="0.55000000000000004">
      <c r="A260">
        <v>2015</v>
      </c>
      <c r="B260" t="s">
        <v>53</v>
      </c>
      <c r="C260" t="s">
        <v>77</v>
      </c>
      <c r="D260" t="s">
        <v>85</v>
      </c>
      <c r="E260">
        <v>96.1</v>
      </c>
      <c r="F260">
        <v>94.7</v>
      </c>
      <c r="G260">
        <v>3624</v>
      </c>
      <c r="H260">
        <v>3475</v>
      </c>
      <c r="I260">
        <v>3724</v>
      </c>
      <c r="J260">
        <v>3500</v>
      </c>
      <c r="K260">
        <v>3300</v>
      </c>
      <c r="L260">
        <v>4030</v>
      </c>
    </row>
    <row r="261" spans="1:12" x14ac:dyDescent="0.55000000000000004">
      <c r="A261">
        <v>2015</v>
      </c>
      <c r="B261" t="s">
        <v>53</v>
      </c>
      <c r="C261" t="s">
        <v>77</v>
      </c>
      <c r="D261" t="s">
        <v>86</v>
      </c>
      <c r="E261">
        <v>100</v>
      </c>
      <c r="F261">
        <v>95</v>
      </c>
      <c r="G261">
        <v>3121</v>
      </c>
      <c r="H261">
        <v>3200</v>
      </c>
      <c r="I261">
        <v>3391</v>
      </c>
      <c r="J261">
        <v>3350</v>
      </c>
      <c r="K261">
        <v>3050</v>
      </c>
      <c r="L261">
        <v>3790</v>
      </c>
    </row>
    <row r="262" spans="1:12" x14ac:dyDescent="0.55000000000000004">
      <c r="A262">
        <v>2015</v>
      </c>
      <c r="B262" t="s">
        <v>53</v>
      </c>
      <c r="C262" t="s">
        <v>77</v>
      </c>
      <c r="D262" t="s">
        <v>87</v>
      </c>
      <c r="E262">
        <v>83.3</v>
      </c>
      <c r="F262">
        <v>80</v>
      </c>
      <c r="G262">
        <v>3279</v>
      </c>
      <c r="H262">
        <v>3200</v>
      </c>
      <c r="I262">
        <v>3422</v>
      </c>
      <c r="J262">
        <v>3300</v>
      </c>
      <c r="K262">
        <v>3000</v>
      </c>
      <c r="L262">
        <v>3600</v>
      </c>
    </row>
    <row r="263" spans="1:12" x14ac:dyDescent="0.55000000000000004">
      <c r="A263">
        <v>2015</v>
      </c>
      <c r="B263" t="s">
        <v>53</v>
      </c>
      <c r="C263" t="s">
        <v>88</v>
      </c>
      <c r="D263" t="s">
        <v>192</v>
      </c>
      <c r="E263">
        <v>96.9</v>
      </c>
      <c r="F263">
        <v>96.9</v>
      </c>
      <c r="G263">
        <v>4866</v>
      </c>
      <c r="H263">
        <v>4600</v>
      </c>
      <c r="I263">
        <v>4910</v>
      </c>
      <c r="J263">
        <v>4700</v>
      </c>
      <c r="K263">
        <v>4200</v>
      </c>
      <c r="L263">
        <v>5800</v>
      </c>
    </row>
    <row r="264" spans="1:12" x14ac:dyDescent="0.55000000000000004">
      <c r="A264">
        <v>2015</v>
      </c>
      <c r="B264" t="s">
        <v>53</v>
      </c>
      <c r="C264" t="s">
        <v>90</v>
      </c>
      <c r="D264" t="s">
        <v>127</v>
      </c>
      <c r="E264">
        <v>100</v>
      </c>
      <c r="F264">
        <v>100</v>
      </c>
      <c r="G264">
        <v>4352</v>
      </c>
      <c r="H264">
        <v>4500</v>
      </c>
      <c r="I264">
        <v>4729</v>
      </c>
      <c r="J264">
        <v>4900</v>
      </c>
      <c r="K264">
        <v>4500</v>
      </c>
      <c r="L264">
        <v>5000</v>
      </c>
    </row>
    <row r="265" spans="1:12" x14ac:dyDescent="0.55000000000000004">
      <c r="A265">
        <v>2015</v>
      </c>
      <c r="B265" t="s">
        <v>53</v>
      </c>
      <c r="C265" t="s">
        <v>90</v>
      </c>
      <c r="D265" t="s">
        <v>92</v>
      </c>
      <c r="E265">
        <v>97.3</v>
      </c>
      <c r="F265">
        <v>97.3</v>
      </c>
      <c r="G265">
        <v>3175</v>
      </c>
      <c r="H265">
        <v>3200</v>
      </c>
      <c r="I265">
        <v>3356</v>
      </c>
      <c r="J265">
        <v>3400</v>
      </c>
      <c r="K265">
        <v>3200</v>
      </c>
      <c r="L265">
        <v>3445</v>
      </c>
    </row>
    <row r="266" spans="1:12" x14ac:dyDescent="0.55000000000000004">
      <c r="A266">
        <v>2015</v>
      </c>
      <c r="B266" t="s">
        <v>53</v>
      </c>
      <c r="C266" t="s">
        <v>90</v>
      </c>
      <c r="D266" t="s">
        <v>93</v>
      </c>
      <c r="E266">
        <v>100</v>
      </c>
      <c r="F266">
        <v>100</v>
      </c>
      <c r="G266">
        <v>3219</v>
      </c>
      <c r="H266">
        <v>3200</v>
      </c>
      <c r="I266">
        <v>3466</v>
      </c>
      <c r="J266">
        <v>3435</v>
      </c>
      <c r="K266">
        <v>3300</v>
      </c>
      <c r="L266">
        <v>3700</v>
      </c>
    </row>
    <row r="267" spans="1:12" x14ac:dyDescent="0.55000000000000004">
      <c r="A267">
        <v>2015</v>
      </c>
      <c r="B267" t="s">
        <v>53</v>
      </c>
      <c r="C267" t="s">
        <v>94</v>
      </c>
      <c r="D267" t="s">
        <v>193</v>
      </c>
      <c r="E267">
        <v>82.4</v>
      </c>
      <c r="F267">
        <v>41.2</v>
      </c>
      <c r="G267">
        <v>3244</v>
      </c>
      <c r="H267">
        <v>3200</v>
      </c>
      <c r="I267">
        <v>3344</v>
      </c>
      <c r="J267">
        <v>3300</v>
      </c>
      <c r="K267">
        <v>3000</v>
      </c>
      <c r="L267">
        <v>3600</v>
      </c>
    </row>
    <row r="268" spans="1:12" x14ac:dyDescent="0.55000000000000004">
      <c r="A268">
        <v>2015</v>
      </c>
      <c r="B268" t="s">
        <v>53</v>
      </c>
      <c r="C268" t="s">
        <v>96</v>
      </c>
      <c r="D268" t="s">
        <v>97</v>
      </c>
      <c r="E268" t="s">
        <v>42</v>
      </c>
      <c r="F268" t="s">
        <v>42</v>
      </c>
      <c r="G268" t="s">
        <v>42</v>
      </c>
      <c r="H268" t="s">
        <v>42</v>
      </c>
      <c r="I268" t="s">
        <v>42</v>
      </c>
      <c r="J268" t="s">
        <v>42</v>
      </c>
      <c r="K268" t="s">
        <v>42</v>
      </c>
      <c r="L268" t="s">
        <v>42</v>
      </c>
    </row>
    <row r="269" spans="1:12" x14ac:dyDescent="0.55000000000000004">
      <c r="A269">
        <v>2015</v>
      </c>
      <c r="B269" t="s">
        <v>53</v>
      </c>
      <c r="C269" t="s">
        <v>96</v>
      </c>
      <c r="D269" t="s">
        <v>98</v>
      </c>
      <c r="E269">
        <v>85.2</v>
      </c>
      <c r="F269">
        <v>77.8</v>
      </c>
      <c r="G269">
        <v>3203</v>
      </c>
      <c r="H269">
        <v>3000</v>
      </c>
      <c r="I269">
        <v>3355</v>
      </c>
      <c r="J269">
        <v>3100</v>
      </c>
      <c r="K269">
        <v>3000</v>
      </c>
      <c r="L269">
        <v>4000</v>
      </c>
    </row>
    <row r="270" spans="1:12" x14ac:dyDescent="0.55000000000000004">
      <c r="A270">
        <v>2015</v>
      </c>
      <c r="B270" t="s">
        <v>53</v>
      </c>
      <c r="C270" t="s">
        <v>96</v>
      </c>
      <c r="D270" t="s">
        <v>99</v>
      </c>
      <c r="E270">
        <v>84.3</v>
      </c>
      <c r="F270">
        <v>64.2</v>
      </c>
      <c r="G270">
        <v>2859</v>
      </c>
      <c r="H270">
        <v>2900</v>
      </c>
      <c r="I270">
        <v>3052</v>
      </c>
      <c r="J270">
        <v>3000</v>
      </c>
      <c r="K270">
        <v>2620</v>
      </c>
      <c r="L270">
        <v>3200</v>
      </c>
    </row>
    <row r="271" spans="1:12" x14ac:dyDescent="0.55000000000000004">
      <c r="A271">
        <v>2015</v>
      </c>
      <c r="B271" t="s">
        <v>53</v>
      </c>
      <c r="C271" t="s">
        <v>96</v>
      </c>
      <c r="D271" t="s">
        <v>100</v>
      </c>
      <c r="E271">
        <v>83.9</v>
      </c>
      <c r="F271">
        <v>76.2</v>
      </c>
      <c r="G271">
        <v>3245</v>
      </c>
      <c r="H271">
        <v>3200</v>
      </c>
      <c r="I271">
        <v>3321</v>
      </c>
      <c r="J271">
        <v>3300</v>
      </c>
      <c r="K271">
        <v>3000</v>
      </c>
      <c r="L271">
        <v>3600</v>
      </c>
    </row>
    <row r="272" spans="1:12" x14ac:dyDescent="0.55000000000000004">
      <c r="A272">
        <v>2015</v>
      </c>
      <c r="B272" t="s">
        <v>53</v>
      </c>
      <c r="C272" t="s">
        <v>96</v>
      </c>
      <c r="D272" t="s">
        <v>101</v>
      </c>
      <c r="E272" t="s">
        <v>42</v>
      </c>
      <c r="F272" t="s">
        <v>42</v>
      </c>
      <c r="G272" t="s">
        <v>42</v>
      </c>
      <c r="H272" t="s">
        <v>42</v>
      </c>
      <c r="I272" t="s">
        <v>42</v>
      </c>
      <c r="J272" t="s">
        <v>42</v>
      </c>
      <c r="K272" t="s">
        <v>42</v>
      </c>
      <c r="L272" t="s">
        <v>42</v>
      </c>
    </row>
    <row r="273" spans="1:12" x14ac:dyDescent="0.55000000000000004">
      <c r="A273">
        <v>2015</v>
      </c>
      <c r="B273" t="s">
        <v>53</v>
      </c>
      <c r="C273" t="s">
        <v>96</v>
      </c>
      <c r="D273" t="s">
        <v>102</v>
      </c>
      <c r="E273">
        <v>99</v>
      </c>
      <c r="F273">
        <v>97.9</v>
      </c>
      <c r="G273">
        <v>3431</v>
      </c>
      <c r="H273">
        <v>3500</v>
      </c>
      <c r="I273">
        <v>3717</v>
      </c>
      <c r="J273">
        <v>3500</v>
      </c>
      <c r="K273">
        <v>3400</v>
      </c>
      <c r="L273">
        <v>3929</v>
      </c>
    </row>
    <row r="274" spans="1:12" x14ac:dyDescent="0.55000000000000004">
      <c r="A274">
        <v>2015</v>
      </c>
      <c r="B274" t="s">
        <v>53</v>
      </c>
      <c r="C274" t="s">
        <v>194</v>
      </c>
      <c r="D274" t="s">
        <v>195</v>
      </c>
      <c r="E274">
        <v>71.900000000000006</v>
      </c>
      <c r="F274">
        <v>59.4</v>
      </c>
      <c r="G274">
        <v>3400</v>
      </c>
      <c r="H274">
        <v>3462</v>
      </c>
      <c r="I274">
        <v>3433</v>
      </c>
      <c r="J274">
        <v>3500</v>
      </c>
      <c r="K274">
        <v>3238</v>
      </c>
      <c r="L274">
        <v>3550</v>
      </c>
    </row>
    <row r="275" spans="1:12" x14ac:dyDescent="0.55000000000000004">
      <c r="A275">
        <v>2015</v>
      </c>
      <c r="B275" t="s">
        <v>103</v>
      </c>
      <c r="C275" t="s">
        <v>128</v>
      </c>
      <c r="D275" t="s">
        <v>196</v>
      </c>
      <c r="E275">
        <v>97.3</v>
      </c>
      <c r="F275">
        <v>93</v>
      </c>
      <c r="G275">
        <v>3287</v>
      </c>
      <c r="H275">
        <v>2900</v>
      </c>
      <c r="I275">
        <v>3427</v>
      </c>
      <c r="J275">
        <v>3000</v>
      </c>
      <c r="K275">
        <v>2850</v>
      </c>
      <c r="L275">
        <v>3500</v>
      </c>
    </row>
    <row r="276" spans="1:12" x14ac:dyDescent="0.55000000000000004">
      <c r="A276">
        <v>2015</v>
      </c>
      <c r="B276" t="s">
        <v>103</v>
      </c>
      <c r="C276" t="s">
        <v>128</v>
      </c>
      <c r="D276" t="s">
        <v>197</v>
      </c>
      <c r="E276">
        <v>97.7</v>
      </c>
      <c r="F276">
        <v>97.7</v>
      </c>
      <c r="G276">
        <v>3597</v>
      </c>
      <c r="H276">
        <v>3100</v>
      </c>
      <c r="I276">
        <v>3701</v>
      </c>
      <c r="J276">
        <v>3200</v>
      </c>
      <c r="K276">
        <v>2850</v>
      </c>
      <c r="L276">
        <v>4110</v>
      </c>
    </row>
    <row r="277" spans="1:12" x14ac:dyDescent="0.55000000000000004">
      <c r="A277">
        <v>2015</v>
      </c>
      <c r="B277" t="s">
        <v>103</v>
      </c>
      <c r="C277" t="s">
        <v>131</v>
      </c>
      <c r="D277" t="s">
        <v>198</v>
      </c>
      <c r="E277">
        <v>93.9</v>
      </c>
      <c r="F277">
        <v>88.2</v>
      </c>
      <c r="G277">
        <v>3513</v>
      </c>
      <c r="H277">
        <v>3200</v>
      </c>
      <c r="I277">
        <v>3611</v>
      </c>
      <c r="J277">
        <v>3300</v>
      </c>
      <c r="K277">
        <v>3000</v>
      </c>
      <c r="L277">
        <v>4000</v>
      </c>
    </row>
    <row r="278" spans="1:12" x14ac:dyDescent="0.55000000000000004">
      <c r="A278">
        <v>2015</v>
      </c>
      <c r="B278" t="s">
        <v>103</v>
      </c>
      <c r="C278" t="s">
        <v>131</v>
      </c>
      <c r="D278" t="s">
        <v>199</v>
      </c>
      <c r="E278">
        <v>98.3</v>
      </c>
      <c r="F278">
        <v>93.3</v>
      </c>
      <c r="G278">
        <v>4050</v>
      </c>
      <c r="H278">
        <v>3800</v>
      </c>
      <c r="I278">
        <v>4130</v>
      </c>
      <c r="J278">
        <v>3868</v>
      </c>
      <c r="K278">
        <v>3200</v>
      </c>
      <c r="L278">
        <v>4600</v>
      </c>
    </row>
    <row r="279" spans="1:12" x14ac:dyDescent="0.55000000000000004">
      <c r="A279">
        <v>2015</v>
      </c>
      <c r="B279" t="s">
        <v>103</v>
      </c>
      <c r="C279" t="s">
        <v>134</v>
      </c>
      <c r="D279" t="s">
        <v>35</v>
      </c>
      <c r="E279">
        <v>90.3</v>
      </c>
      <c r="F279">
        <v>85.8</v>
      </c>
      <c r="G279">
        <v>3798</v>
      </c>
      <c r="H279">
        <v>3500</v>
      </c>
      <c r="I279">
        <v>3946</v>
      </c>
      <c r="J279">
        <v>3500</v>
      </c>
      <c r="K279">
        <v>3200</v>
      </c>
      <c r="L279">
        <v>4100</v>
      </c>
    </row>
    <row r="280" spans="1:12" x14ac:dyDescent="0.55000000000000004">
      <c r="A280">
        <v>2015</v>
      </c>
      <c r="B280" t="s">
        <v>103</v>
      </c>
      <c r="C280" t="s">
        <v>134</v>
      </c>
      <c r="D280" t="s">
        <v>200</v>
      </c>
      <c r="E280">
        <v>98.2</v>
      </c>
      <c r="F280">
        <v>92.7</v>
      </c>
      <c r="G280">
        <v>4249</v>
      </c>
      <c r="H280">
        <v>3800</v>
      </c>
      <c r="I280">
        <v>4380</v>
      </c>
      <c r="J280">
        <v>3850</v>
      </c>
      <c r="K280">
        <v>3500</v>
      </c>
      <c r="L280">
        <v>4700</v>
      </c>
    </row>
    <row r="281" spans="1:12" x14ac:dyDescent="0.55000000000000004">
      <c r="A281">
        <v>2015</v>
      </c>
      <c r="B281" t="s">
        <v>103</v>
      </c>
      <c r="C281" t="s">
        <v>137</v>
      </c>
      <c r="D281" t="s">
        <v>201</v>
      </c>
      <c r="E281">
        <v>94.8</v>
      </c>
      <c r="F281">
        <v>85.9</v>
      </c>
      <c r="G281">
        <v>3491</v>
      </c>
      <c r="H281">
        <v>3500</v>
      </c>
      <c r="I281">
        <v>3660</v>
      </c>
      <c r="J281">
        <v>3500</v>
      </c>
      <c r="K281">
        <v>3200</v>
      </c>
      <c r="L281">
        <v>4110</v>
      </c>
    </row>
    <row r="282" spans="1:12" x14ac:dyDescent="0.55000000000000004">
      <c r="A282">
        <v>2015</v>
      </c>
      <c r="B282" t="s">
        <v>103</v>
      </c>
      <c r="C282" t="s">
        <v>137</v>
      </c>
      <c r="D282" t="s">
        <v>202</v>
      </c>
      <c r="E282">
        <v>97.4</v>
      </c>
      <c r="F282">
        <v>92.1</v>
      </c>
      <c r="G282">
        <v>3577</v>
      </c>
      <c r="H282">
        <v>3800</v>
      </c>
      <c r="I282">
        <v>3834</v>
      </c>
      <c r="J282">
        <v>3800</v>
      </c>
      <c r="K282">
        <v>3500</v>
      </c>
      <c r="L282">
        <v>4166</v>
      </c>
    </row>
    <row r="283" spans="1:12" x14ac:dyDescent="0.55000000000000004">
      <c r="A283">
        <v>2015</v>
      </c>
      <c r="B283" t="s">
        <v>103</v>
      </c>
      <c r="C283" t="s">
        <v>140</v>
      </c>
      <c r="D283" t="s">
        <v>203</v>
      </c>
      <c r="E283">
        <v>89</v>
      </c>
      <c r="F283">
        <v>83</v>
      </c>
      <c r="G283">
        <v>3306</v>
      </c>
      <c r="H283">
        <v>3100</v>
      </c>
      <c r="I283">
        <v>3550</v>
      </c>
      <c r="J283">
        <v>3200</v>
      </c>
      <c r="K283">
        <v>2980</v>
      </c>
      <c r="L283">
        <v>3600</v>
      </c>
    </row>
    <row r="284" spans="1:12" x14ac:dyDescent="0.55000000000000004">
      <c r="A284">
        <v>2015</v>
      </c>
      <c r="B284" t="s">
        <v>103</v>
      </c>
      <c r="C284" t="s">
        <v>140</v>
      </c>
      <c r="D284" t="s">
        <v>204</v>
      </c>
      <c r="E284">
        <v>93.1</v>
      </c>
      <c r="F284">
        <v>89.7</v>
      </c>
      <c r="G284">
        <v>3887</v>
      </c>
      <c r="H284">
        <v>3500</v>
      </c>
      <c r="I284">
        <v>4012</v>
      </c>
      <c r="J284">
        <v>3560</v>
      </c>
      <c r="K284">
        <v>3300</v>
      </c>
      <c r="L284">
        <v>4583</v>
      </c>
    </row>
    <row r="285" spans="1:12" x14ac:dyDescent="0.55000000000000004">
      <c r="A285">
        <v>2015</v>
      </c>
      <c r="B285" t="s">
        <v>103</v>
      </c>
      <c r="C285" t="s">
        <v>143</v>
      </c>
      <c r="D285" t="s">
        <v>205</v>
      </c>
      <c r="E285">
        <v>99</v>
      </c>
      <c r="F285">
        <v>99</v>
      </c>
      <c r="G285">
        <v>4889</v>
      </c>
      <c r="H285">
        <v>4600</v>
      </c>
      <c r="I285">
        <v>4997</v>
      </c>
      <c r="J285">
        <v>4731</v>
      </c>
      <c r="K285">
        <v>4350</v>
      </c>
      <c r="L285">
        <v>5800</v>
      </c>
    </row>
    <row r="286" spans="1:12" x14ac:dyDescent="0.55000000000000004">
      <c r="A286">
        <v>2015</v>
      </c>
      <c r="B286" t="s">
        <v>103</v>
      </c>
      <c r="C286" t="s">
        <v>143</v>
      </c>
      <c r="D286" t="s">
        <v>206</v>
      </c>
      <c r="E286">
        <v>100</v>
      </c>
      <c r="F286">
        <v>100</v>
      </c>
      <c r="G286">
        <v>5160</v>
      </c>
      <c r="H286">
        <v>4766</v>
      </c>
      <c r="I286">
        <v>5313</v>
      </c>
      <c r="J286">
        <v>5000</v>
      </c>
      <c r="K286">
        <v>4500</v>
      </c>
      <c r="L286">
        <v>5995</v>
      </c>
    </row>
    <row r="287" spans="1:12" x14ac:dyDescent="0.55000000000000004">
      <c r="A287">
        <v>2015</v>
      </c>
      <c r="B287" t="s">
        <v>207</v>
      </c>
      <c r="C287" t="s">
        <v>42</v>
      </c>
      <c r="D287" t="s">
        <v>208</v>
      </c>
      <c r="E287">
        <v>92.5</v>
      </c>
      <c r="F287">
        <v>88.1</v>
      </c>
      <c r="G287">
        <v>3595</v>
      </c>
      <c r="H287">
        <v>3618</v>
      </c>
      <c r="I287">
        <v>3565</v>
      </c>
      <c r="J287">
        <v>3600</v>
      </c>
      <c r="K287">
        <v>3400</v>
      </c>
      <c r="L287">
        <v>3800</v>
      </c>
    </row>
    <row r="288" spans="1:12" x14ac:dyDescent="0.55000000000000004">
      <c r="A288">
        <v>2015</v>
      </c>
      <c r="B288" t="s">
        <v>207</v>
      </c>
      <c r="C288" t="s">
        <v>42</v>
      </c>
      <c r="D288" t="s">
        <v>209</v>
      </c>
      <c r="E288">
        <v>80.3</v>
      </c>
      <c r="F288">
        <v>71.8</v>
      </c>
      <c r="G288">
        <v>3699</v>
      </c>
      <c r="H288">
        <v>3450</v>
      </c>
      <c r="I288">
        <v>3763</v>
      </c>
      <c r="J288">
        <v>3500</v>
      </c>
      <c r="K288">
        <v>3190</v>
      </c>
      <c r="L288">
        <v>4100</v>
      </c>
    </row>
    <row r="289" spans="1:12" x14ac:dyDescent="0.55000000000000004">
      <c r="A289">
        <v>2015</v>
      </c>
      <c r="B289" t="s">
        <v>207</v>
      </c>
      <c r="C289" t="s">
        <v>42</v>
      </c>
      <c r="D289" t="s">
        <v>210</v>
      </c>
      <c r="E289">
        <v>86</v>
      </c>
      <c r="F289">
        <v>83.7</v>
      </c>
      <c r="G289">
        <v>3872</v>
      </c>
      <c r="H289">
        <v>3700</v>
      </c>
      <c r="I289">
        <v>3952</v>
      </c>
      <c r="J289">
        <v>3950</v>
      </c>
      <c r="K289">
        <v>3338</v>
      </c>
      <c r="L289">
        <v>4450</v>
      </c>
    </row>
    <row r="290" spans="1:12" x14ac:dyDescent="0.55000000000000004">
      <c r="A290">
        <v>2015</v>
      </c>
      <c r="B290" t="s">
        <v>207</v>
      </c>
      <c r="C290" t="s">
        <v>42</v>
      </c>
      <c r="D290" t="s">
        <v>211</v>
      </c>
      <c r="E290" t="s">
        <v>42</v>
      </c>
      <c r="F290" t="s">
        <v>42</v>
      </c>
      <c r="G290" t="s">
        <v>42</v>
      </c>
      <c r="H290" t="s">
        <v>42</v>
      </c>
      <c r="I290" t="s">
        <v>42</v>
      </c>
      <c r="J290" t="s">
        <v>42</v>
      </c>
      <c r="K290" t="s">
        <v>42</v>
      </c>
      <c r="L290" t="s">
        <v>42</v>
      </c>
    </row>
    <row r="291" spans="1:12" x14ac:dyDescent="0.55000000000000004">
      <c r="A291">
        <v>2015</v>
      </c>
      <c r="B291" t="s">
        <v>146</v>
      </c>
      <c r="C291" t="s">
        <v>147</v>
      </c>
      <c r="D291" t="s">
        <v>212</v>
      </c>
      <c r="E291" t="s">
        <v>42</v>
      </c>
      <c r="F291" t="s">
        <v>42</v>
      </c>
      <c r="G291" t="s">
        <v>42</v>
      </c>
      <c r="H291" t="s">
        <v>42</v>
      </c>
      <c r="I291" t="s">
        <v>42</v>
      </c>
      <c r="J291" t="s">
        <v>42</v>
      </c>
      <c r="K291" t="s">
        <v>42</v>
      </c>
      <c r="L291" t="s">
        <v>42</v>
      </c>
    </row>
    <row r="292" spans="1:12" x14ac:dyDescent="0.55000000000000004">
      <c r="A292">
        <v>2015</v>
      </c>
      <c r="B292" t="s">
        <v>146</v>
      </c>
      <c r="C292" t="s">
        <v>147</v>
      </c>
      <c r="D292" t="s">
        <v>149</v>
      </c>
      <c r="E292">
        <v>88.5</v>
      </c>
      <c r="F292">
        <v>65.400000000000006</v>
      </c>
      <c r="G292">
        <v>2643</v>
      </c>
      <c r="H292">
        <v>2700</v>
      </c>
      <c r="I292">
        <v>2682</v>
      </c>
      <c r="J292">
        <v>2700</v>
      </c>
      <c r="K292">
        <v>2500</v>
      </c>
      <c r="L292">
        <v>2800</v>
      </c>
    </row>
    <row r="293" spans="1:12" x14ac:dyDescent="0.55000000000000004">
      <c r="A293">
        <v>2015</v>
      </c>
      <c r="B293" t="s">
        <v>146</v>
      </c>
      <c r="C293" t="s">
        <v>147</v>
      </c>
      <c r="D293" t="s">
        <v>213</v>
      </c>
      <c r="E293" t="s">
        <v>42</v>
      </c>
      <c r="F293" t="s">
        <v>42</v>
      </c>
      <c r="G293" t="s">
        <v>42</v>
      </c>
      <c r="H293" t="s">
        <v>42</v>
      </c>
      <c r="I293" t="s">
        <v>42</v>
      </c>
      <c r="J293" t="s">
        <v>42</v>
      </c>
      <c r="K293" t="s">
        <v>42</v>
      </c>
      <c r="L293" t="s">
        <v>42</v>
      </c>
    </row>
    <row r="294" spans="1:12" x14ac:dyDescent="0.55000000000000004">
      <c r="A294">
        <v>2015</v>
      </c>
      <c r="B294" t="s">
        <v>146</v>
      </c>
      <c r="C294" t="s">
        <v>147</v>
      </c>
      <c r="D294" t="s">
        <v>151</v>
      </c>
      <c r="E294">
        <v>95.2</v>
      </c>
      <c r="F294">
        <v>90.5</v>
      </c>
      <c r="G294">
        <v>3332</v>
      </c>
      <c r="H294">
        <v>3200</v>
      </c>
      <c r="I294">
        <v>3346</v>
      </c>
      <c r="J294">
        <v>3233</v>
      </c>
      <c r="K294">
        <v>3000</v>
      </c>
      <c r="L294">
        <v>3500</v>
      </c>
    </row>
    <row r="295" spans="1:12" x14ac:dyDescent="0.55000000000000004">
      <c r="A295">
        <v>2015</v>
      </c>
      <c r="B295" t="s">
        <v>146</v>
      </c>
      <c r="C295" t="s">
        <v>152</v>
      </c>
      <c r="D295" t="s">
        <v>153</v>
      </c>
      <c r="E295">
        <v>76.099999999999994</v>
      </c>
      <c r="F295">
        <v>54.3</v>
      </c>
      <c r="G295">
        <v>2896</v>
      </c>
      <c r="H295">
        <v>2750</v>
      </c>
      <c r="I295">
        <v>2922</v>
      </c>
      <c r="J295">
        <v>2750</v>
      </c>
      <c r="K295">
        <v>2523</v>
      </c>
      <c r="L295">
        <v>2975</v>
      </c>
    </row>
    <row r="296" spans="1:12" x14ac:dyDescent="0.55000000000000004">
      <c r="A296">
        <v>2015</v>
      </c>
      <c r="B296" t="s">
        <v>146</v>
      </c>
      <c r="C296" t="s">
        <v>152</v>
      </c>
      <c r="D296" t="s">
        <v>154</v>
      </c>
      <c r="E296">
        <v>87.5</v>
      </c>
      <c r="F296">
        <v>71.900000000000006</v>
      </c>
      <c r="G296">
        <v>2520</v>
      </c>
      <c r="H296">
        <v>2600</v>
      </c>
      <c r="I296">
        <v>2893</v>
      </c>
      <c r="J296">
        <v>2700</v>
      </c>
      <c r="K296">
        <v>2500</v>
      </c>
      <c r="L296">
        <v>3025</v>
      </c>
    </row>
    <row r="297" spans="1:12" x14ac:dyDescent="0.55000000000000004">
      <c r="A297">
        <v>2015</v>
      </c>
      <c r="B297" t="s">
        <v>146</v>
      </c>
      <c r="C297" t="s">
        <v>155</v>
      </c>
      <c r="D297" t="s">
        <v>156</v>
      </c>
      <c r="E297">
        <v>85.5</v>
      </c>
      <c r="F297">
        <v>72.599999999999994</v>
      </c>
      <c r="G297">
        <v>3097</v>
      </c>
      <c r="H297">
        <v>3000</v>
      </c>
      <c r="I297">
        <v>3405</v>
      </c>
      <c r="J297">
        <v>3250</v>
      </c>
      <c r="K297">
        <v>2900</v>
      </c>
      <c r="L297">
        <v>3750</v>
      </c>
    </row>
    <row r="298" spans="1:12" x14ac:dyDescent="0.55000000000000004">
      <c r="A298">
        <v>2015</v>
      </c>
      <c r="B298" t="s">
        <v>146</v>
      </c>
      <c r="C298" t="s">
        <v>155</v>
      </c>
      <c r="D298" t="s">
        <v>214</v>
      </c>
      <c r="E298">
        <v>83</v>
      </c>
      <c r="F298">
        <v>77.400000000000006</v>
      </c>
      <c r="G298">
        <v>3334</v>
      </c>
      <c r="H298">
        <v>3100</v>
      </c>
      <c r="I298">
        <v>3452</v>
      </c>
      <c r="J298">
        <v>3300</v>
      </c>
      <c r="K298">
        <v>3000</v>
      </c>
      <c r="L298">
        <v>3550</v>
      </c>
    </row>
    <row r="299" spans="1:12" x14ac:dyDescent="0.55000000000000004">
      <c r="A299">
        <v>2015</v>
      </c>
      <c r="B299" t="s">
        <v>146</v>
      </c>
      <c r="C299" t="s">
        <v>155</v>
      </c>
      <c r="D299" t="s">
        <v>157</v>
      </c>
      <c r="E299">
        <v>91.7</v>
      </c>
      <c r="F299">
        <v>91.7</v>
      </c>
      <c r="G299">
        <v>3180</v>
      </c>
      <c r="H299">
        <v>3025</v>
      </c>
      <c r="I299">
        <v>3354</v>
      </c>
      <c r="J299">
        <v>3225</v>
      </c>
      <c r="K299">
        <v>3050</v>
      </c>
      <c r="L299">
        <v>3500</v>
      </c>
    </row>
    <row r="300" spans="1:12" x14ac:dyDescent="0.55000000000000004">
      <c r="A300">
        <v>2015</v>
      </c>
      <c r="B300" t="s">
        <v>146</v>
      </c>
      <c r="C300" t="s">
        <v>155</v>
      </c>
      <c r="D300" t="s">
        <v>158</v>
      </c>
      <c r="E300">
        <v>90.5</v>
      </c>
      <c r="F300">
        <v>83.3</v>
      </c>
      <c r="G300">
        <v>3069</v>
      </c>
      <c r="H300">
        <v>3050</v>
      </c>
      <c r="I300">
        <v>3266</v>
      </c>
      <c r="J300">
        <v>3200</v>
      </c>
      <c r="K300">
        <v>3000</v>
      </c>
      <c r="L300">
        <v>3500</v>
      </c>
    </row>
    <row r="301" spans="1:12" x14ac:dyDescent="0.55000000000000004">
      <c r="A301">
        <v>2015</v>
      </c>
      <c r="B301" t="s">
        <v>146</v>
      </c>
      <c r="C301" t="s">
        <v>155</v>
      </c>
      <c r="D301" t="s">
        <v>159</v>
      </c>
      <c r="E301">
        <v>100</v>
      </c>
      <c r="F301">
        <v>100</v>
      </c>
      <c r="G301">
        <v>3211</v>
      </c>
      <c r="H301">
        <v>3050</v>
      </c>
      <c r="I301">
        <v>3266</v>
      </c>
      <c r="J301">
        <v>3141</v>
      </c>
      <c r="K301">
        <v>2900</v>
      </c>
      <c r="L301">
        <v>3500</v>
      </c>
    </row>
    <row r="302" spans="1:12" x14ac:dyDescent="0.55000000000000004">
      <c r="A302">
        <v>2015</v>
      </c>
      <c r="B302" t="s">
        <v>146</v>
      </c>
      <c r="C302" t="s">
        <v>155</v>
      </c>
      <c r="D302" t="s">
        <v>160</v>
      </c>
      <c r="E302">
        <v>100</v>
      </c>
      <c r="F302">
        <v>94.7</v>
      </c>
      <c r="G302">
        <v>3166</v>
      </c>
      <c r="H302">
        <v>3125</v>
      </c>
      <c r="I302">
        <v>3469</v>
      </c>
      <c r="J302">
        <v>3350</v>
      </c>
      <c r="K302">
        <v>3238</v>
      </c>
      <c r="L302">
        <v>3575</v>
      </c>
    </row>
    <row r="303" spans="1:12" x14ac:dyDescent="0.55000000000000004">
      <c r="A303">
        <v>2015</v>
      </c>
      <c r="B303" t="s">
        <v>146</v>
      </c>
      <c r="C303" t="s">
        <v>155</v>
      </c>
      <c r="D303" t="s">
        <v>161</v>
      </c>
      <c r="E303">
        <v>89.2</v>
      </c>
      <c r="F303">
        <v>81.099999999999994</v>
      </c>
      <c r="G303">
        <v>2683</v>
      </c>
      <c r="H303">
        <v>2700</v>
      </c>
      <c r="I303">
        <v>2876</v>
      </c>
      <c r="J303">
        <v>2700</v>
      </c>
      <c r="K303">
        <v>2475</v>
      </c>
      <c r="L303">
        <v>3050</v>
      </c>
    </row>
    <row r="304" spans="1:12" x14ac:dyDescent="0.55000000000000004">
      <c r="A304">
        <v>2015</v>
      </c>
      <c r="B304" t="s">
        <v>146</v>
      </c>
      <c r="C304" t="s">
        <v>162</v>
      </c>
      <c r="D304" t="s">
        <v>163</v>
      </c>
      <c r="E304">
        <v>87.5</v>
      </c>
      <c r="F304">
        <v>79.2</v>
      </c>
      <c r="G304">
        <v>2759</v>
      </c>
      <c r="H304">
        <v>2800</v>
      </c>
      <c r="I304">
        <v>2970</v>
      </c>
      <c r="J304">
        <v>2950</v>
      </c>
      <c r="K304">
        <v>2800</v>
      </c>
      <c r="L304">
        <v>3200</v>
      </c>
    </row>
    <row r="305" spans="1:12" x14ac:dyDescent="0.55000000000000004">
      <c r="A305">
        <v>2015</v>
      </c>
      <c r="B305" t="s">
        <v>146</v>
      </c>
      <c r="C305" t="s">
        <v>162</v>
      </c>
      <c r="D305" t="s">
        <v>164</v>
      </c>
      <c r="E305">
        <v>100</v>
      </c>
      <c r="F305">
        <v>90</v>
      </c>
      <c r="G305">
        <v>3044</v>
      </c>
      <c r="H305">
        <v>3100</v>
      </c>
      <c r="I305">
        <v>3339</v>
      </c>
      <c r="J305">
        <v>3250</v>
      </c>
      <c r="K305">
        <v>3000</v>
      </c>
      <c r="L305">
        <v>3488</v>
      </c>
    </row>
    <row r="306" spans="1:12" x14ac:dyDescent="0.55000000000000004">
      <c r="A306">
        <v>2015</v>
      </c>
      <c r="B306" t="s">
        <v>146</v>
      </c>
      <c r="C306" t="s">
        <v>165</v>
      </c>
      <c r="D306" t="s">
        <v>166</v>
      </c>
      <c r="E306">
        <v>92.6</v>
      </c>
      <c r="F306">
        <v>81.5</v>
      </c>
      <c r="G306">
        <v>2482</v>
      </c>
      <c r="H306">
        <v>2300</v>
      </c>
      <c r="I306">
        <v>2586</v>
      </c>
      <c r="J306">
        <v>2400</v>
      </c>
      <c r="K306">
        <v>2000</v>
      </c>
      <c r="L306">
        <v>2800</v>
      </c>
    </row>
    <row r="307" spans="1:12" x14ac:dyDescent="0.55000000000000004">
      <c r="A307">
        <v>2015</v>
      </c>
      <c r="B307" t="s">
        <v>146</v>
      </c>
      <c r="C307" t="s">
        <v>215</v>
      </c>
      <c r="D307" t="s">
        <v>216</v>
      </c>
      <c r="E307">
        <v>100</v>
      </c>
      <c r="F307">
        <v>100</v>
      </c>
      <c r="G307">
        <v>3322</v>
      </c>
      <c r="H307">
        <v>3300</v>
      </c>
      <c r="I307">
        <v>3486</v>
      </c>
      <c r="J307">
        <v>3488</v>
      </c>
      <c r="K307">
        <v>3313</v>
      </c>
      <c r="L307">
        <v>3650</v>
      </c>
    </row>
    <row r="308" spans="1:12" x14ac:dyDescent="0.55000000000000004">
      <c r="A308">
        <v>2015</v>
      </c>
      <c r="B308" t="s">
        <v>146</v>
      </c>
      <c r="C308" t="s">
        <v>167</v>
      </c>
      <c r="D308" t="s">
        <v>168</v>
      </c>
      <c r="E308">
        <v>100</v>
      </c>
      <c r="F308">
        <v>100</v>
      </c>
      <c r="G308">
        <v>3126</v>
      </c>
      <c r="H308">
        <v>3120</v>
      </c>
      <c r="I308">
        <v>3149</v>
      </c>
      <c r="J308">
        <v>3125</v>
      </c>
      <c r="K308">
        <v>3000</v>
      </c>
      <c r="L308">
        <v>3225</v>
      </c>
    </row>
    <row r="309" spans="1:12" x14ac:dyDescent="0.55000000000000004">
      <c r="A309">
        <v>2015</v>
      </c>
      <c r="B309" t="s">
        <v>146</v>
      </c>
      <c r="C309" t="s">
        <v>167</v>
      </c>
      <c r="D309" t="s">
        <v>169</v>
      </c>
      <c r="E309">
        <v>100</v>
      </c>
      <c r="F309">
        <v>98.3</v>
      </c>
      <c r="G309">
        <v>3234</v>
      </c>
      <c r="H309">
        <v>3200</v>
      </c>
      <c r="I309">
        <v>3310</v>
      </c>
      <c r="J309">
        <v>3222</v>
      </c>
      <c r="K309">
        <v>3200</v>
      </c>
      <c r="L309">
        <v>3500</v>
      </c>
    </row>
    <row r="310" spans="1:12" x14ac:dyDescent="0.55000000000000004">
      <c r="A310">
        <v>2015</v>
      </c>
      <c r="B310" t="s">
        <v>146</v>
      </c>
      <c r="C310" t="s">
        <v>167</v>
      </c>
      <c r="D310" t="s">
        <v>217</v>
      </c>
      <c r="E310" t="s">
        <v>42</v>
      </c>
      <c r="F310" t="s">
        <v>42</v>
      </c>
      <c r="G310" t="s">
        <v>42</v>
      </c>
      <c r="H310" t="s">
        <v>42</v>
      </c>
      <c r="I310" t="s">
        <v>42</v>
      </c>
      <c r="J310" t="s">
        <v>42</v>
      </c>
      <c r="K310" t="s">
        <v>42</v>
      </c>
      <c r="L310" t="s">
        <v>42</v>
      </c>
    </row>
    <row r="311" spans="1:12" x14ac:dyDescent="0.55000000000000004">
      <c r="A311">
        <v>2015</v>
      </c>
      <c r="B311" t="s">
        <v>146</v>
      </c>
      <c r="C311" t="s">
        <v>170</v>
      </c>
      <c r="D311" t="s">
        <v>171</v>
      </c>
      <c r="E311">
        <v>81.599999999999994</v>
      </c>
      <c r="F311">
        <v>73.7</v>
      </c>
      <c r="G311">
        <v>2766</v>
      </c>
      <c r="H311">
        <v>3000</v>
      </c>
      <c r="I311">
        <v>2840</v>
      </c>
      <c r="J311">
        <v>3000</v>
      </c>
      <c r="K311">
        <v>2614</v>
      </c>
      <c r="L311">
        <v>3293</v>
      </c>
    </row>
    <row r="312" spans="1:12" x14ac:dyDescent="0.55000000000000004">
      <c r="A312">
        <v>2015</v>
      </c>
      <c r="B312" t="s">
        <v>146</v>
      </c>
      <c r="C312" t="s">
        <v>170</v>
      </c>
      <c r="D312" t="s">
        <v>172</v>
      </c>
      <c r="E312">
        <v>83.3</v>
      </c>
      <c r="F312">
        <v>70.8</v>
      </c>
      <c r="G312">
        <v>3128</v>
      </c>
      <c r="H312">
        <v>3000</v>
      </c>
      <c r="I312">
        <v>3185</v>
      </c>
      <c r="J312">
        <v>3000</v>
      </c>
      <c r="K312">
        <v>2882</v>
      </c>
      <c r="L312">
        <v>3300</v>
      </c>
    </row>
    <row r="313" spans="1:12" x14ac:dyDescent="0.55000000000000004">
      <c r="A313">
        <v>2015</v>
      </c>
      <c r="B313" t="s">
        <v>146</v>
      </c>
      <c r="C313" t="s">
        <v>170</v>
      </c>
      <c r="D313" t="s">
        <v>173</v>
      </c>
      <c r="E313">
        <v>72.2</v>
      </c>
      <c r="F313">
        <v>61.1</v>
      </c>
      <c r="G313">
        <v>3160</v>
      </c>
      <c r="H313">
        <v>3000</v>
      </c>
      <c r="I313">
        <v>3685</v>
      </c>
      <c r="J313">
        <v>3250</v>
      </c>
      <c r="K313">
        <v>2960</v>
      </c>
      <c r="L313">
        <v>4200</v>
      </c>
    </row>
    <row r="314" spans="1:12" x14ac:dyDescent="0.55000000000000004">
      <c r="A314">
        <v>2015</v>
      </c>
      <c r="B314" t="s">
        <v>146</v>
      </c>
      <c r="C314" t="s">
        <v>170</v>
      </c>
      <c r="D314" t="s">
        <v>174</v>
      </c>
      <c r="E314">
        <v>96.4</v>
      </c>
      <c r="F314">
        <v>94.5</v>
      </c>
      <c r="G314">
        <v>3202</v>
      </c>
      <c r="H314">
        <v>3000</v>
      </c>
      <c r="I314">
        <v>3404</v>
      </c>
      <c r="J314">
        <v>3100</v>
      </c>
      <c r="K314">
        <v>2975</v>
      </c>
      <c r="L314">
        <v>3875</v>
      </c>
    </row>
    <row r="315" spans="1:12" x14ac:dyDescent="0.55000000000000004">
      <c r="A315">
        <v>2015</v>
      </c>
      <c r="B315" t="s">
        <v>146</v>
      </c>
      <c r="C315" t="s">
        <v>170</v>
      </c>
      <c r="D315" t="s">
        <v>218</v>
      </c>
      <c r="E315">
        <v>95.6</v>
      </c>
      <c r="F315">
        <v>86.7</v>
      </c>
      <c r="G315">
        <v>3247</v>
      </c>
      <c r="H315">
        <v>3250</v>
      </c>
      <c r="I315">
        <v>3391</v>
      </c>
      <c r="J315">
        <v>3300</v>
      </c>
      <c r="K315">
        <v>3152</v>
      </c>
      <c r="L315">
        <v>3400</v>
      </c>
    </row>
    <row r="316" spans="1:12" x14ac:dyDescent="0.55000000000000004">
      <c r="A316">
        <v>2015</v>
      </c>
      <c r="B316" t="s">
        <v>146</v>
      </c>
      <c r="C316" t="s">
        <v>175</v>
      </c>
      <c r="D316" t="s">
        <v>176</v>
      </c>
      <c r="E316">
        <v>98.3</v>
      </c>
      <c r="F316">
        <v>96.7</v>
      </c>
      <c r="G316">
        <v>3304</v>
      </c>
      <c r="H316">
        <v>3400</v>
      </c>
      <c r="I316">
        <v>3624</v>
      </c>
      <c r="J316">
        <v>3615</v>
      </c>
      <c r="K316">
        <v>3400</v>
      </c>
      <c r="L316">
        <v>3838</v>
      </c>
    </row>
    <row r="317" spans="1:12" x14ac:dyDescent="0.55000000000000004">
      <c r="A317">
        <v>2015</v>
      </c>
      <c r="B317" t="s">
        <v>146</v>
      </c>
      <c r="C317" t="s">
        <v>177</v>
      </c>
      <c r="D317" t="s">
        <v>178</v>
      </c>
      <c r="E317">
        <v>89.9</v>
      </c>
      <c r="F317">
        <v>82.6</v>
      </c>
      <c r="G317">
        <v>2515</v>
      </c>
      <c r="H317">
        <v>2500</v>
      </c>
      <c r="I317">
        <v>2607</v>
      </c>
      <c r="J317">
        <v>2548</v>
      </c>
      <c r="K317">
        <v>2338</v>
      </c>
      <c r="L317">
        <v>2850</v>
      </c>
    </row>
    <row r="318" spans="1:12" x14ac:dyDescent="0.55000000000000004">
      <c r="A318">
        <v>2015</v>
      </c>
      <c r="B318" t="s">
        <v>146</v>
      </c>
      <c r="C318" t="s">
        <v>179</v>
      </c>
      <c r="D318" t="s">
        <v>180</v>
      </c>
      <c r="E318">
        <v>100</v>
      </c>
      <c r="F318">
        <v>96.4</v>
      </c>
      <c r="G318">
        <v>2772</v>
      </c>
      <c r="H318">
        <v>2700</v>
      </c>
      <c r="I318">
        <v>2807</v>
      </c>
      <c r="J318">
        <v>2700</v>
      </c>
      <c r="K318">
        <v>2608</v>
      </c>
      <c r="L318">
        <v>3000</v>
      </c>
    </row>
    <row r="319" spans="1:12" x14ac:dyDescent="0.55000000000000004">
      <c r="A319">
        <v>2016</v>
      </c>
      <c r="B319" t="s">
        <v>12</v>
      </c>
      <c r="C319" t="s">
        <v>13</v>
      </c>
      <c r="D319" t="s">
        <v>196</v>
      </c>
      <c r="E319">
        <v>97.3</v>
      </c>
      <c r="F319">
        <v>95.1</v>
      </c>
      <c r="G319">
        <v>3027</v>
      </c>
      <c r="H319">
        <v>2900</v>
      </c>
      <c r="I319">
        <v>3063</v>
      </c>
      <c r="J319">
        <v>2900</v>
      </c>
      <c r="K319">
        <v>2900</v>
      </c>
      <c r="L319">
        <v>3100</v>
      </c>
    </row>
    <row r="320" spans="1:12" x14ac:dyDescent="0.55000000000000004">
      <c r="A320">
        <v>2016</v>
      </c>
      <c r="B320" t="s">
        <v>12</v>
      </c>
      <c r="C320" t="s">
        <v>13</v>
      </c>
      <c r="D320" t="s">
        <v>14</v>
      </c>
      <c r="E320">
        <v>97.4</v>
      </c>
      <c r="F320">
        <v>96.6</v>
      </c>
      <c r="G320">
        <v>3836</v>
      </c>
      <c r="H320">
        <v>3500</v>
      </c>
      <c r="I320">
        <v>3893</v>
      </c>
      <c r="J320">
        <v>3500</v>
      </c>
      <c r="K320">
        <v>3100</v>
      </c>
      <c r="L320">
        <v>4250</v>
      </c>
    </row>
    <row r="321" spans="1:12" x14ac:dyDescent="0.55000000000000004">
      <c r="A321">
        <v>2016</v>
      </c>
      <c r="B321" t="s">
        <v>12</v>
      </c>
      <c r="C321" t="s">
        <v>13</v>
      </c>
      <c r="D321" t="s">
        <v>219</v>
      </c>
      <c r="E321">
        <v>89.6</v>
      </c>
      <c r="F321">
        <v>77.099999999999994</v>
      </c>
      <c r="G321">
        <v>3348</v>
      </c>
      <c r="H321">
        <v>3200</v>
      </c>
      <c r="I321">
        <v>3444</v>
      </c>
      <c r="J321">
        <v>3300</v>
      </c>
      <c r="K321">
        <v>3000</v>
      </c>
      <c r="L321">
        <v>3800</v>
      </c>
    </row>
    <row r="322" spans="1:12" x14ac:dyDescent="0.55000000000000004">
      <c r="A322">
        <v>2016</v>
      </c>
      <c r="B322" t="s">
        <v>12</v>
      </c>
      <c r="C322" t="s">
        <v>13</v>
      </c>
      <c r="D322" t="s">
        <v>17</v>
      </c>
      <c r="E322">
        <v>94.4</v>
      </c>
      <c r="F322">
        <v>94.4</v>
      </c>
      <c r="G322">
        <v>4232</v>
      </c>
      <c r="H322">
        <v>4000</v>
      </c>
      <c r="I322">
        <v>4407</v>
      </c>
      <c r="J322">
        <v>4600</v>
      </c>
      <c r="K322">
        <v>3800</v>
      </c>
      <c r="L322">
        <v>5000</v>
      </c>
    </row>
    <row r="323" spans="1:12" x14ac:dyDescent="0.55000000000000004">
      <c r="A323">
        <v>2016</v>
      </c>
      <c r="B323" t="s">
        <v>12</v>
      </c>
      <c r="C323" t="s">
        <v>18</v>
      </c>
      <c r="D323" t="s">
        <v>19</v>
      </c>
      <c r="E323">
        <v>82.4</v>
      </c>
      <c r="F323">
        <v>77.900000000000006</v>
      </c>
      <c r="G323">
        <v>3761</v>
      </c>
      <c r="H323">
        <v>3625</v>
      </c>
      <c r="I323">
        <v>3840</v>
      </c>
      <c r="J323">
        <v>3675</v>
      </c>
      <c r="K323">
        <v>3350</v>
      </c>
      <c r="L323">
        <v>4435</v>
      </c>
    </row>
    <row r="324" spans="1:12" x14ac:dyDescent="0.55000000000000004">
      <c r="A324">
        <v>2016</v>
      </c>
      <c r="B324" t="s">
        <v>12</v>
      </c>
      <c r="C324" t="s">
        <v>18</v>
      </c>
      <c r="D324" t="s">
        <v>181</v>
      </c>
      <c r="E324" t="s">
        <v>42</v>
      </c>
      <c r="F324" t="s">
        <v>42</v>
      </c>
      <c r="G324" t="s">
        <v>42</v>
      </c>
      <c r="H324" t="s">
        <v>42</v>
      </c>
      <c r="I324" t="s">
        <v>42</v>
      </c>
      <c r="J324" t="s">
        <v>42</v>
      </c>
      <c r="K324" t="s">
        <v>42</v>
      </c>
      <c r="L324" t="s">
        <v>42</v>
      </c>
    </row>
    <row r="325" spans="1:12" x14ac:dyDescent="0.55000000000000004">
      <c r="A325">
        <v>2016</v>
      </c>
      <c r="B325" t="s">
        <v>12</v>
      </c>
      <c r="C325" t="s">
        <v>18</v>
      </c>
      <c r="D325" t="s">
        <v>20</v>
      </c>
      <c r="E325">
        <v>77.8</v>
      </c>
      <c r="F325">
        <v>63.9</v>
      </c>
      <c r="G325">
        <v>3151</v>
      </c>
      <c r="H325">
        <v>3200</v>
      </c>
      <c r="I325">
        <v>3317</v>
      </c>
      <c r="J325">
        <v>3237</v>
      </c>
      <c r="K325">
        <v>3000</v>
      </c>
      <c r="L325">
        <v>3510</v>
      </c>
    </row>
    <row r="326" spans="1:12" x14ac:dyDescent="0.55000000000000004">
      <c r="A326">
        <v>2016</v>
      </c>
      <c r="B326" t="s">
        <v>12</v>
      </c>
      <c r="C326" t="s">
        <v>18</v>
      </c>
      <c r="D326" t="s">
        <v>182</v>
      </c>
      <c r="E326" t="s">
        <v>42</v>
      </c>
      <c r="F326" t="s">
        <v>42</v>
      </c>
      <c r="G326" t="s">
        <v>42</v>
      </c>
      <c r="H326" t="s">
        <v>42</v>
      </c>
      <c r="I326" t="s">
        <v>42</v>
      </c>
      <c r="J326" t="s">
        <v>42</v>
      </c>
      <c r="K326" t="s">
        <v>42</v>
      </c>
      <c r="L326" t="s">
        <v>42</v>
      </c>
    </row>
    <row r="327" spans="1:12" x14ac:dyDescent="0.55000000000000004">
      <c r="A327">
        <v>2016</v>
      </c>
      <c r="B327" t="s">
        <v>12</v>
      </c>
      <c r="C327" t="s">
        <v>18</v>
      </c>
      <c r="D327" t="s">
        <v>183</v>
      </c>
      <c r="E327">
        <v>80.599999999999994</v>
      </c>
      <c r="F327">
        <v>72.599999999999994</v>
      </c>
      <c r="G327">
        <v>3336</v>
      </c>
      <c r="H327">
        <v>3225</v>
      </c>
      <c r="I327">
        <v>3476</v>
      </c>
      <c r="J327">
        <v>3400</v>
      </c>
      <c r="K327">
        <v>3200</v>
      </c>
      <c r="L327">
        <v>3800</v>
      </c>
    </row>
    <row r="328" spans="1:12" x14ac:dyDescent="0.55000000000000004">
      <c r="A328">
        <v>2016</v>
      </c>
      <c r="B328" t="s">
        <v>12</v>
      </c>
      <c r="C328" t="s">
        <v>18</v>
      </c>
      <c r="D328" t="s">
        <v>23</v>
      </c>
      <c r="E328">
        <v>92.4</v>
      </c>
      <c r="F328">
        <v>91.6</v>
      </c>
      <c r="G328">
        <v>3407</v>
      </c>
      <c r="H328">
        <v>3250</v>
      </c>
      <c r="I328">
        <v>3505</v>
      </c>
      <c r="J328">
        <v>3300</v>
      </c>
      <c r="K328">
        <v>3200</v>
      </c>
      <c r="L328">
        <v>3800</v>
      </c>
    </row>
    <row r="329" spans="1:12" x14ac:dyDescent="0.55000000000000004">
      <c r="A329">
        <v>2016</v>
      </c>
      <c r="B329" t="s">
        <v>12</v>
      </c>
      <c r="C329" t="s">
        <v>18</v>
      </c>
      <c r="D329" t="s">
        <v>22</v>
      </c>
      <c r="E329">
        <v>83.3</v>
      </c>
      <c r="F329">
        <v>75.900000000000006</v>
      </c>
      <c r="G329">
        <v>3792</v>
      </c>
      <c r="H329">
        <v>3500</v>
      </c>
      <c r="I329">
        <v>3833</v>
      </c>
      <c r="J329">
        <v>3500</v>
      </c>
      <c r="K329">
        <v>3300</v>
      </c>
      <c r="L329">
        <v>4420</v>
      </c>
    </row>
    <row r="330" spans="1:12" x14ac:dyDescent="0.55000000000000004">
      <c r="A330">
        <v>2016</v>
      </c>
      <c r="B330" t="s">
        <v>12</v>
      </c>
      <c r="C330" t="s">
        <v>18</v>
      </c>
      <c r="D330" t="s">
        <v>24</v>
      </c>
      <c r="E330">
        <v>94.6</v>
      </c>
      <c r="F330">
        <v>91.4</v>
      </c>
      <c r="G330">
        <v>3784</v>
      </c>
      <c r="H330">
        <v>3500</v>
      </c>
      <c r="I330">
        <v>3848</v>
      </c>
      <c r="J330">
        <v>3500</v>
      </c>
      <c r="K330">
        <v>3300</v>
      </c>
      <c r="L330">
        <v>4333</v>
      </c>
    </row>
    <row r="331" spans="1:12" x14ac:dyDescent="0.55000000000000004">
      <c r="A331">
        <v>2016</v>
      </c>
      <c r="B331" t="s">
        <v>12</v>
      </c>
      <c r="C331" t="s">
        <v>18</v>
      </c>
      <c r="D331" t="s">
        <v>185</v>
      </c>
      <c r="E331">
        <v>89.1</v>
      </c>
      <c r="F331">
        <v>83.6</v>
      </c>
      <c r="G331">
        <v>3443</v>
      </c>
      <c r="H331">
        <v>3300</v>
      </c>
      <c r="I331">
        <v>3517</v>
      </c>
      <c r="J331">
        <v>3400</v>
      </c>
      <c r="K331">
        <v>3190</v>
      </c>
      <c r="L331">
        <v>3800</v>
      </c>
    </row>
    <row r="332" spans="1:12" x14ac:dyDescent="0.55000000000000004">
      <c r="A332">
        <v>2016</v>
      </c>
      <c r="B332" t="s">
        <v>12</v>
      </c>
      <c r="C332" t="s">
        <v>18</v>
      </c>
      <c r="D332" t="s">
        <v>26</v>
      </c>
      <c r="E332">
        <v>80.599999999999994</v>
      </c>
      <c r="F332">
        <v>74.2</v>
      </c>
      <c r="G332">
        <v>3156</v>
      </c>
      <c r="H332">
        <v>3100</v>
      </c>
      <c r="I332">
        <v>3216</v>
      </c>
      <c r="J332">
        <v>3100</v>
      </c>
      <c r="K332">
        <v>2800</v>
      </c>
      <c r="L332">
        <v>3400</v>
      </c>
    </row>
    <row r="333" spans="1:12" x14ac:dyDescent="0.55000000000000004">
      <c r="A333">
        <v>2016</v>
      </c>
      <c r="B333" t="s">
        <v>12</v>
      </c>
      <c r="C333" t="s">
        <v>18</v>
      </c>
      <c r="D333" t="s">
        <v>187</v>
      </c>
      <c r="E333">
        <v>94.6</v>
      </c>
      <c r="F333">
        <v>87.5</v>
      </c>
      <c r="G333">
        <v>3496</v>
      </c>
      <c r="H333">
        <v>3350</v>
      </c>
      <c r="I333">
        <v>3570</v>
      </c>
      <c r="J333">
        <v>3350</v>
      </c>
      <c r="K333">
        <v>3000</v>
      </c>
      <c r="L333">
        <v>4000</v>
      </c>
    </row>
    <row r="334" spans="1:12" x14ac:dyDescent="0.55000000000000004">
      <c r="A334">
        <v>2016</v>
      </c>
      <c r="B334" t="s">
        <v>12</v>
      </c>
      <c r="C334" t="s">
        <v>18</v>
      </c>
      <c r="D334" t="s">
        <v>30</v>
      </c>
      <c r="E334">
        <v>94.2</v>
      </c>
      <c r="F334">
        <v>88.5</v>
      </c>
      <c r="G334">
        <v>3305</v>
      </c>
      <c r="H334">
        <v>3300</v>
      </c>
      <c r="I334">
        <v>3328</v>
      </c>
      <c r="J334">
        <v>3398</v>
      </c>
      <c r="K334">
        <v>3083</v>
      </c>
      <c r="L334">
        <v>3500</v>
      </c>
    </row>
    <row r="335" spans="1:12" x14ac:dyDescent="0.55000000000000004">
      <c r="A335">
        <v>2016</v>
      </c>
      <c r="B335" t="s">
        <v>12</v>
      </c>
      <c r="C335" t="s">
        <v>18</v>
      </c>
      <c r="D335" t="s">
        <v>28</v>
      </c>
      <c r="E335">
        <v>81.3</v>
      </c>
      <c r="F335">
        <v>73.5</v>
      </c>
      <c r="G335">
        <v>3197</v>
      </c>
      <c r="H335">
        <v>3200</v>
      </c>
      <c r="I335">
        <v>3317</v>
      </c>
      <c r="J335">
        <v>3300</v>
      </c>
      <c r="K335">
        <v>3000</v>
      </c>
      <c r="L335">
        <v>3500</v>
      </c>
    </row>
    <row r="336" spans="1:12" x14ac:dyDescent="0.55000000000000004">
      <c r="A336">
        <v>2016</v>
      </c>
      <c r="B336" t="s">
        <v>12</v>
      </c>
      <c r="C336" t="s">
        <v>18</v>
      </c>
      <c r="D336" t="s">
        <v>220</v>
      </c>
      <c r="E336" t="s">
        <v>42</v>
      </c>
      <c r="F336" t="s">
        <v>42</v>
      </c>
      <c r="G336" t="s">
        <v>42</v>
      </c>
      <c r="H336" t="s">
        <v>42</v>
      </c>
      <c r="I336" t="s">
        <v>42</v>
      </c>
      <c r="J336" t="s">
        <v>42</v>
      </c>
      <c r="K336" t="s">
        <v>42</v>
      </c>
      <c r="L336" t="s">
        <v>42</v>
      </c>
    </row>
    <row r="337" spans="1:12" x14ac:dyDescent="0.55000000000000004">
      <c r="A337">
        <v>2016</v>
      </c>
      <c r="B337" t="s">
        <v>12</v>
      </c>
      <c r="C337" t="s">
        <v>18</v>
      </c>
      <c r="D337" t="s">
        <v>29</v>
      </c>
      <c r="E337">
        <v>86</v>
      </c>
      <c r="F337">
        <v>79.900000000000006</v>
      </c>
      <c r="G337">
        <v>3417</v>
      </c>
      <c r="H337">
        <v>3300</v>
      </c>
      <c r="I337">
        <v>3505</v>
      </c>
      <c r="J337">
        <v>3350</v>
      </c>
      <c r="K337">
        <v>3050</v>
      </c>
      <c r="L337">
        <v>3959</v>
      </c>
    </row>
    <row r="338" spans="1:12" x14ac:dyDescent="0.55000000000000004">
      <c r="A338">
        <v>2016</v>
      </c>
      <c r="B338" t="s">
        <v>12</v>
      </c>
      <c r="C338" t="s">
        <v>18</v>
      </c>
      <c r="D338" t="s">
        <v>189</v>
      </c>
      <c r="E338" t="s">
        <v>42</v>
      </c>
      <c r="F338" t="s">
        <v>42</v>
      </c>
      <c r="G338" t="s">
        <v>42</v>
      </c>
      <c r="H338" t="s">
        <v>42</v>
      </c>
      <c r="I338" t="s">
        <v>42</v>
      </c>
      <c r="J338" t="s">
        <v>42</v>
      </c>
      <c r="K338" t="s">
        <v>42</v>
      </c>
      <c r="L338" t="s">
        <v>42</v>
      </c>
    </row>
    <row r="339" spans="1:12" x14ac:dyDescent="0.55000000000000004">
      <c r="A339">
        <v>2016</v>
      </c>
      <c r="B339" t="s">
        <v>12</v>
      </c>
      <c r="C339" t="s">
        <v>31</v>
      </c>
      <c r="D339" t="s">
        <v>32</v>
      </c>
      <c r="E339">
        <v>79.7</v>
      </c>
      <c r="F339">
        <v>46.6</v>
      </c>
      <c r="G339">
        <v>2718</v>
      </c>
      <c r="H339">
        <v>2700</v>
      </c>
      <c r="I339">
        <v>2761</v>
      </c>
      <c r="J339">
        <v>2700</v>
      </c>
      <c r="K339">
        <v>2500</v>
      </c>
      <c r="L339">
        <v>3000</v>
      </c>
    </row>
    <row r="340" spans="1:12" x14ac:dyDescent="0.55000000000000004">
      <c r="A340">
        <v>2016</v>
      </c>
      <c r="B340" t="s">
        <v>12</v>
      </c>
      <c r="C340" t="s">
        <v>31</v>
      </c>
      <c r="D340" t="s">
        <v>33</v>
      </c>
      <c r="E340">
        <v>91.1</v>
      </c>
      <c r="F340">
        <v>74.7</v>
      </c>
      <c r="G340">
        <v>3239</v>
      </c>
      <c r="H340">
        <v>3300</v>
      </c>
      <c r="I340">
        <v>3345</v>
      </c>
      <c r="J340">
        <v>3300</v>
      </c>
      <c r="K340">
        <v>3050</v>
      </c>
      <c r="L340">
        <v>3500</v>
      </c>
    </row>
    <row r="341" spans="1:12" x14ac:dyDescent="0.55000000000000004">
      <c r="A341">
        <v>2016</v>
      </c>
      <c r="B341" t="s">
        <v>12</v>
      </c>
      <c r="C341" t="s">
        <v>31</v>
      </c>
      <c r="D341" t="s">
        <v>34</v>
      </c>
      <c r="E341">
        <v>87.7</v>
      </c>
      <c r="F341">
        <v>69.599999999999994</v>
      </c>
      <c r="G341">
        <v>2938</v>
      </c>
      <c r="H341">
        <v>2900</v>
      </c>
      <c r="I341">
        <v>2996</v>
      </c>
      <c r="J341">
        <v>3000</v>
      </c>
      <c r="K341">
        <v>2575</v>
      </c>
      <c r="L341">
        <v>3365</v>
      </c>
    </row>
    <row r="342" spans="1:12" x14ac:dyDescent="0.55000000000000004">
      <c r="A342">
        <v>2016</v>
      </c>
      <c r="B342" t="s">
        <v>12</v>
      </c>
      <c r="C342" t="s">
        <v>31</v>
      </c>
      <c r="D342" t="s">
        <v>35</v>
      </c>
      <c r="E342">
        <v>91.3</v>
      </c>
      <c r="F342">
        <v>79.3</v>
      </c>
      <c r="G342">
        <v>3385</v>
      </c>
      <c r="H342">
        <v>3300</v>
      </c>
      <c r="I342">
        <v>3440</v>
      </c>
      <c r="J342">
        <v>3300</v>
      </c>
      <c r="K342">
        <v>3000</v>
      </c>
      <c r="L342">
        <v>3850</v>
      </c>
    </row>
    <row r="343" spans="1:12" x14ac:dyDescent="0.55000000000000004">
      <c r="A343">
        <v>2016</v>
      </c>
      <c r="B343" t="s">
        <v>12</v>
      </c>
      <c r="C343" t="s">
        <v>31</v>
      </c>
      <c r="D343" t="s">
        <v>36</v>
      </c>
      <c r="E343">
        <v>75</v>
      </c>
      <c r="F343">
        <v>54.2</v>
      </c>
      <c r="G343">
        <v>2974</v>
      </c>
      <c r="H343">
        <v>3000</v>
      </c>
      <c r="I343">
        <v>2997</v>
      </c>
      <c r="J343">
        <v>3000</v>
      </c>
      <c r="K343">
        <v>2700</v>
      </c>
      <c r="L343">
        <v>3400</v>
      </c>
    </row>
    <row r="344" spans="1:12" x14ac:dyDescent="0.55000000000000004">
      <c r="A344">
        <v>2016</v>
      </c>
      <c r="B344" t="s">
        <v>12</v>
      </c>
      <c r="C344" t="s">
        <v>31</v>
      </c>
      <c r="D344" t="s">
        <v>221</v>
      </c>
      <c r="E344">
        <v>87.2</v>
      </c>
      <c r="F344">
        <v>76.599999999999994</v>
      </c>
      <c r="G344">
        <v>3027</v>
      </c>
      <c r="H344">
        <v>3000</v>
      </c>
      <c r="I344">
        <v>3082</v>
      </c>
      <c r="J344">
        <v>3000</v>
      </c>
      <c r="K344">
        <v>2700</v>
      </c>
      <c r="L344">
        <v>3500</v>
      </c>
    </row>
    <row r="345" spans="1:12" x14ac:dyDescent="0.55000000000000004">
      <c r="A345">
        <v>2016</v>
      </c>
      <c r="B345" t="s">
        <v>12</v>
      </c>
      <c r="C345" t="s">
        <v>31</v>
      </c>
      <c r="D345" t="s">
        <v>190</v>
      </c>
      <c r="E345">
        <v>81.8</v>
      </c>
      <c r="F345">
        <v>61.8</v>
      </c>
      <c r="G345">
        <v>3283</v>
      </c>
      <c r="H345">
        <v>3315</v>
      </c>
      <c r="I345">
        <v>3368</v>
      </c>
      <c r="J345">
        <v>3365</v>
      </c>
      <c r="K345">
        <v>2960</v>
      </c>
      <c r="L345">
        <v>3500</v>
      </c>
    </row>
    <row r="346" spans="1:12" x14ac:dyDescent="0.55000000000000004">
      <c r="A346">
        <v>2016</v>
      </c>
      <c r="B346" t="s">
        <v>12</v>
      </c>
      <c r="C346" t="s">
        <v>31</v>
      </c>
      <c r="D346" t="s">
        <v>38</v>
      </c>
      <c r="E346">
        <v>82.1</v>
      </c>
      <c r="F346">
        <v>66.7</v>
      </c>
      <c r="G346">
        <v>3083</v>
      </c>
      <c r="H346">
        <v>3100</v>
      </c>
      <c r="I346">
        <v>3136</v>
      </c>
      <c r="J346">
        <v>3200</v>
      </c>
      <c r="K346">
        <v>2800</v>
      </c>
      <c r="L346">
        <v>3500</v>
      </c>
    </row>
    <row r="347" spans="1:12" x14ac:dyDescent="0.55000000000000004">
      <c r="A347">
        <v>2016</v>
      </c>
      <c r="B347" t="s">
        <v>12</v>
      </c>
      <c r="C347" t="s">
        <v>31</v>
      </c>
      <c r="D347" t="s">
        <v>222</v>
      </c>
      <c r="E347" t="s">
        <v>42</v>
      </c>
      <c r="F347" t="s">
        <v>42</v>
      </c>
      <c r="G347" t="s">
        <v>42</v>
      </c>
      <c r="H347" t="s">
        <v>42</v>
      </c>
      <c r="I347" t="s">
        <v>42</v>
      </c>
      <c r="J347" t="s">
        <v>42</v>
      </c>
      <c r="K347" t="s">
        <v>42</v>
      </c>
      <c r="L347" t="s">
        <v>42</v>
      </c>
    </row>
    <row r="348" spans="1:12" x14ac:dyDescent="0.55000000000000004">
      <c r="A348">
        <v>2016</v>
      </c>
      <c r="B348" t="s">
        <v>12</v>
      </c>
      <c r="C348" t="s">
        <v>31</v>
      </c>
      <c r="D348" t="s">
        <v>39</v>
      </c>
      <c r="E348">
        <v>86.1</v>
      </c>
      <c r="F348">
        <v>63.9</v>
      </c>
      <c r="G348">
        <v>3279</v>
      </c>
      <c r="H348">
        <v>3300</v>
      </c>
      <c r="I348">
        <v>3480</v>
      </c>
      <c r="J348">
        <v>3500</v>
      </c>
      <c r="K348">
        <v>3000</v>
      </c>
      <c r="L348">
        <v>3850</v>
      </c>
    </row>
    <row r="349" spans="1:12" x14ac:dyDescent="0.55000000000000004">
      <c r="A349">
        <v>2016</v>
      </c>
      <c r="B349" t="s">
        <v>12</v>
      </c>
      <c r="C349" t="s">
        <v>40</v>
      </c>
      <c r="D349" t="s">
        <v>223</v>
      </c>
      <c r="E349">
        <v>94.4</v>
      </c>
      <c r="F349">
        <v>88.9</v>
      </c>
      <c r="G349">
        <v>2525</v>
      </c>
      <c r="H349">
        <v>2400</v>
      </c>
      <c r="I349">
        <v>2577</v>
      </c>
      <c r="J349">
        <v>2500</v>
      </c>
      <c r="K349">
        <v>2150</v>
      </c>
      <c r="L349">
        <v>2800</v>
      </c>
    </row>
    <row r="350" spans="1:12" x14ac:dyDescent="0.55000000000000004">
      <c r="A350">
        <v>2016</v>
      </c>
      <c r="B350" t="s">
        <v>12</v>
      </c>
      <c r="C350" t="s">
        <v>40</v>
      </c>
      <c r="D350" t="s">
        <v>44</v>
      </c>
      <c r="E350">
        <v>80.5</v>
      </c>
      <c r="F350">
        <v>64</v>
      </c>
      <c r="G350">
        <v>3132</v>
      </c>
      <c r="H350">
        <v>3100</v>
      </c>
      <c r="I350">
        <v>3222</v>
      </c>
      <c r="J350">
        <v>3175</v>
      </c>
      <c r="K350">
        <v>3000</v>
      </c>
      <c r="L350">
        <v>3550</v>
      </c>
    </row>
    <row r="351" spans="1:12" x14ac:dyDescent="0.55000000000000004">
      <c r="A351">
        <v>2016</v>
      </c>
      <c r="B351" t="s">
        <v>12</v>
      </c>
      <c r="C351" t="s">
        <v>40</v>
      </c>
      <c r="D351" t="s">
        <v>45</v>
      </c>
      <c r="E351">
        <v>80.599999999999994</v>
      </c>
      <c r="F351">
        <v>64.2</v>
      </c>
      <c r="G351">
        <v>3119</v>
      </c>
      <c r="H351">
        <v>3000</v>
      </c>
      <c r="I351">
        <v>3234</v>
      </c>
      <c r="J351">
        <v>3149</v>
      </c>
      <c r="K351">
        <v>2925</v>
      </c>
      <c r="L351">
        <v>3500</v>
      </c>
    </row>
    <row r="352" spans="1:12" x14ac:dyDescent="0.55000000000000004">
      <c r="A352">
        <v>2016</v>
      </c>
      <c r="B352" t="s">
        <v>12</v>
      </c>
      <c r="C352" t="s">
        <v>40</v>
      </c>
      <c r="D352" t="s">
        <v>224</v>
      </c>
      <c r="E352">
        <v>88.5</v>
      </c>
      <c r="F352">
        <v>76.900000000000006</v>
      </c>
      <c r="G352">
        <v>3453</v>
      </c>
      <c r="H352">
        <v>3400</v>
      </c>
      <c r="I352">
        <v>3535</v>
      </c>
      <c r="J352">
        <v>3500</v>
      </c>
      <c r="K352">
        <v>3200</v>
      </c>
      <c r="L352">
        <v>3750</v>
      </c>
    </row>
    <row r="353" spans="1:12" x14ac:dyDescent="0.55000000000000004">
      <c r="A353">
        <v>2016</v>
      </c>
      <c r="B353" t="s">
        <v>12</v>
      </c>
      <c r="C353" t="s">
        <v>40</v>
      </c>
      <c r="D353" t="s">
        <v>124</v>
      </c>
      <c r="E353">
        <v>89.4</v>
      </c>
      <c r="F353">
        <v>72.7</v>
      </c>
      <c r="G353">
        <v>3346</v>
      </c>
      <c r="H353">
        <v>3150</v>
      </c>
      <c r="I353">
        <v>3458</v>
      </c>
      <c r="J353">
        <v>3300</v>
      </c>
      <c r="K353">
        <v>3000</v>
      </c>
      <c r="L353">
        <v>3750</v>
      </c>
    </row>
    <row r="354" spans="1:12" x14ac:dyDescent="0.55000000000000004">
      <c r="A354">
        <v>2016</v>
      </c>
      <c r="B354" t="s">
        <v>12</v>
      </c>
      <c r="C354" t="s">
        <v>40</v>
      </c>
      <c r="D354" t="s">
        <v>48</v>
      </c>
      <c r="E354">
        <v>85.7</v>
      </c>
      <c r="F354">
        <v>77.099999999999994</v>
      </c>
      <c r="G354">
        <v>3578</v>
      </c>
      <c r="H354">
        <v>3350</v>
      </c>
      <c r="I354">
        <v>3683</v>
      </c>
      <c r="J354">
        <v>3450</v>
      </c>
      <c r="K354">
        <v>3100</v>
      </c>
      <c r="L354">
        <v>4000</v>
      </c>
    </row>
    <row r="355" spans="1:12" x14ac:dyDescent="0.55000000000000004">
      <c r="A355">
        <v>2016</v>
      </c>
      <c r="B355" t="s">
        <v>12</v>
      </c>
      <c r="C355" t="s">
        <v>49</v>
      </c>
      <c r="D355" t="s">
        <v>49</v>
      </c>
      <c r="E355">
        <v>83.1</v>
      </c>
      <c r="F355">
        <v>66.099999999999994</v>
      </c>
      <c r="G355">
        <v>3196</v>
      </c>
      <c r="H355">
        <v>3100</v>
      </c>
      <c r="I355">
        <v>3272</v>
      </c>
      <c r="J355">
        <v>3200</v>
      </c>
      <c r="K355">
        <v>2825</v>
      </c>
      <c r="L355">
        <v>3500</v>
      </c>
    </row>
    <row r="356" spans="1:12" x14ac:dyDescent="0.55000000000000004">
      <c r="A356">
        <v>2016</v>
      </c>
      <c r="B356" t="s">
        <v>12</v>
      </c>
      <c r="C356" t="s">
        <v>50</v>
      </c>
      <c r="D356" t="s">
        <v>52</v>
      </c>
      <c r="E356">
        <v>100</v>
      </c>
      <c r="F356">
        <v>100</v>
      </c>
      <c r="G356">
        <v>3337</v>
      </c>
      <c r="H356">
        <v>3500</v>
      </c>
      <c r="I356">
        <v>3525</v>
      </c>
      <c r="J356">
        <v>3525</v>
      </c>
      <c r="K356">
        <v>3400</v>
      </c>
      <c r="L356">
        <v>3615</v>
      </c>
    </row>
    <row r="357" spans="1:12" x14ac:dyDescent="0.55000000000000004">
      <c r="A357">
        <v>2016</v>
      </c>
      <c r="B357" t="s">
        <v>12</v>
      </c>
      <c r="C357" t="s">
        <v>50</v>
      </c>
      <c r="D357" t="s">
        <v>51</v>
      </c>
      <c r="E357">
        <v>100</v>
      </c>
      <c r="F357">
        <v>100</v>
      </c>
      <c r="G357">
        <v>3438</v>
      </c>
      <c r="H357">
        <v>3500</v>
      </c>
      <c r="I357">
        <v>3546</v>
      </c>
      <c r="J357">
        <v>3525</v>
      </c>
      <c r="K357">
        <v>3500</v>
      </c>
      <c r="L357">
        <v>3850</v>
      </c>
    </row>
    <row r="358" spans="1:12" x14ac:dyDescent="0.55000000000000004">
      <c r="A358">
        <v>2016</v>
      </c>
      <c r="B358" t="s">
        <v>53</v>
      </c>
      <c r="C358" t="s">
        <v>54</v>
      </c>
      <c r="D358" t="s">
        <v>55</v>
      </c>
      <c r="E358">
        <v>86.1</v>
      </c>
      <c r="F358">
        <v>62.5</v>
      </c>
      <c r="G358">
        <v>2971</v>
      </c>
      <c r="H358">
        <v>3000</v>
      </c>
      <c r="I358">
        <v>3063</v>
      </c>
      <c r="J358">
        <v>3000</v>
      </c>
      <c r="K358">
        <v>2600</v>
      </c>
      <c r="L358">
        <v>3200</v>
      </c>
    </row>
    <row r="359" spans="1:12" x14ac:dyDescent="0.55000000000000004">
      <c r="A359">
        <v>2016</v>
      </c>
      <c r="B359" t="s">
        <v>53</v>
      </c>
      <c r="C359" t="s">
        <v>54</v>
      </c>
      <c r="D359" t="s">
        <v>56</v>
      </c>
      <c r="E359">
        <v>90.7</v>
      </c>
      <c r="F359">
        <v>74.099999999999994</v>
      </c>
      <c r="G359">
        <v>3258</v>
      </c>
      <c r="H359">
        <v>3300</v>
      </c>
      <c r="I359">
        <v>3321</v>
      </c>
      <c r="J359">
        <v>3500</v>
      </c>
      <c r="K359">
        <v>3000</v>
      </c>
      <c r="L359">
        <v>3600</v>
      </c>
    </row>
    <row r="360" spans="1:12" x14ac:dyDescent="0.55000000000000004">
      <c r="A360">
        <v>2016</v>
      </c>
      <c r="B360" t="s">
        <v>53</v>
      </c>
      <c r="C360" t="s">
        <v>54</v>
      </c>
      <c r="D360" t="s">
        <v>57</v>
      </c>
      <c r="E360">
        <v>89.5</v>
      </c>
      <c r="F360">
        <v>73.3</v>
      </c>
      <c r="G360">
        <v>3341</v>
      </c>
      <c r="H360">
        <v>3300</v>
      </c>
      <c r="I360">
        <v>3423</v>
      </c>
      <c r="J360">
        <v>3300</v>
      </c>
      <c r="K360">
        <v>3000</v>
      </c>
      <c r="L360">
        <v>3650</v>
      </c>
    </row>
    <row r="361" spans="1:12" x14ac:dyDescent="0.55000000000000004">
      <c r="A361">
        <v>2016</v>
      </c>
      <c r="B361" t="s">
        <v>53</v>
      </c>
      <c r="C361" t="s">
        <v>225</v>
      </c>
      <c r="D361" t="s">
        <v>71</v>
      </c>
      <c r="E361">
        <v>100</v>
      </c>
      <c r="F361">
        <v>100</v>
      </c>
      <c r="G361">
        <v>4173</v>
      </c>
      <c r="H361">
        <v>4050</v>
      </c>
      <c r="I361">
        <v>4221</v>
      </c>
      <c r="J361">
        <v>4050</v>
      </c>
      <c r="K361">
        <v>4050</v>
      </c>
      <c r="L361">
        <v>4450</v>
      </c>
    </row>
    <row r="362" spans="1:12" x14ac:dyDescent="0.55000000000000004">
      <c r="A362">
        <v>2016</v>
      </c>
      <c r="B362" t="s">
        <v>53</v>
      </c>
      <c r="C362" t="s">
        <v>226</v>
      </c>
      <c r="D362" t="s">
        <v>191</v>
      </c>
      <c r="E362">
        <v>91.9</v>
      </c>
      <c r="F362">
        <v>80.599999999999994</v>
      </c>
      <c r="G362">
        <v>3314</v>
      </c>
      <c r="H362">
        <v>3100</v>
      </c>
      <c r="I362">
        <v>3366</v>
      </c>
      <c r="J362">
        <v>3200</v>
      </c>
      <c r="K362">
        <v>3000</v>
      </c>
      <c r="L362">
        <v>3500</v>
      </c>
    </row>
    <row r="363" spans="1:12" x14ac:dyDescent="0.55000000000000004">
      <c r="A363">
        <v>2016</v>
      </c>
      <c r="B363" t="s">
        <v>53</v>
      </c>
      <c r="C363" t="s">
        <v>226</v>
      </c>
      <c r="D363" t="s">
        <v>79</v>
      </c>
      <c r="E363">
        <v>85.3</v>
      </c>
      <c r="F363">
        <v>80.3</v>
      </c>
      <c r="G363">
        <v>3414</v>
      </c>
      <c r="H363">
        <v>3250</v>
      </c>
      <c r="I363">
        <v>3562</v>
      </c>
      <c r="J363">
        <v>3450</v>
      </c>
      <c r="K363">
        <v>3150</v>
      </c>
      <c r="L363">
        <v>4000</v>
      </c>
    </row>
    <row r="364" spans="1:12" x14ac:dyDescent="0.55000000000000004">
      <c r="A364">
        <v>2016</v>
      </c>
      <c r="B364" t="s">
        <v>53</v>
      </c>
      <c r="C364" t="s">
        <v>226</v>
      </c>
      <c r="D364" t="s">
        <v>80</v>
      </c>
      <c r="E364">
        <v>95.3</v>
      </c>
      <c r="F364">
        <v>91.9</v>
      </c>
      <c r="G364">
        <v>3402</v>
      </c>
      <c r="H364">
        <v>3300</v>
      </c>
      <c r="I364">
        <v>3509</v>
      </c>
      <c r="J364">
        <v>3420</v>
      </c>
      <c r="K364">
        <v>3200</v>
      </c>
      <c r="L364">
        <v>3800</v>
      </c>
    </row>
    <row r="365" spans="1:12" x14ac:dyDescent="0.55000000000000004">
      <c r="A365">
        <v>2016</v>
      </c>
      <c r="B365" t="s">
        <v>53</v>
      </c>
      <c r="C365" t="s">
        <v>226</v>
      </c>
      <c r="D365" t="s">
        <v>81</v>
      </c>
      <c r="E365">
        <v>89.1</v>
      </c>
      <c r="F365">
        <v>85.9</v>
      </c>
      <c r="G365">
        <v>3884</v>
      </c>
      <c r="H365">
        <v>3700</v>
      </c>
      <c r="I365">
        <v>3942</v>
      </c>
      <c r="J365">
        <v>3900</v>
      </c>
      <c r="K365">
        <v>3467</v>
      </c>
      <c r="L365">
        <v>4500</v>
      </c>
    </row>
    <row r="366" spans="1:12" x14ac:dyDescent="0.55000000000000004">
      <c r="A366">
        <v>2016</v>
      </c>
      <c r="B366" t="s">
        <v>53</v>
      </c>
      <c r="C366" t="s">
        <v>226</v>
      </c>
      <c r="D366" t="s">
        <v>82</v>
      </c>
      <c r="E366">
        <v>91.9</v>
      </c>
      <c r="F366">
        <v>87.6</v>
      </c>
      <c r="G366">
        <v>3669</v>
      </c>
      <c r="H366">
        <v>3400</v>
      </c>
      <c r="I366">
        <v>3765</v>
      </c>
      <c r="J366">
        <v>3500</v>
      </c>
      <c r="K366">
        <v>3200</v>
      </c>
      <c r="L366">
        <v>4200</v>
      </c>
    </row>
    <row r="367" spans="1:12" x14ac:dyDescent="0.55000000000000004">
      <c r="A367">
        <v>2016</v>
      </c>
      <c r="B367" t="s">
        <v>53</v>
      </c>
      <c r="C367" t="s">
        <v>226</v>
      </c>
      <c r="D367" t="s">
        <v>83</v>
      </c>
      <c r="E367">
        <v>85.2</v>
      </c>
      <c r="F367">
        <v>74.099999999999994</v>
      </c>
      <c r="G367">
        <v>3549</v>
      </c>
      <c r="H367">
        <v>3400</v>
      </c>
      <c r="I367">
        <v>3707</v>
      </c>
      <c r="J367">
        <v>3740</v>
      </c>
      <c r="K367">
        <v>3350</v>
      </c>
      <c r="L367">
        <v>4026</v>
      </c>
    </row>
    <row r="368" spans="1:12" x14ac:dyDescent="0.55000000000000004">
      <c r="A368">
        <v>2016</v>
      </c>
      <c r="B368" t="s">
        <v>53</v>
      </c>
      <c r="C368" t="s">
        <v>226</v>
      </c>
      <c r="D368" t="s">
        <v>84</v>
      </c>
      <c r="E368">
        <v>79.3</v>
      </c>
      <c r="F368">
        <v>65.5</v>
      </c>
      <c r="G368">
        <v>3432</v>
      </c>
      <c r="H368">
        <v>3300</v>
      </c>
      <c r="I368">
        <v>3470</v>
      </c>
      <c r="J368">
        <v>3350</v>
      </c>
      <c r="K368">
        <v>3000</v>
      </c>
      <c r="L368">
        <v>3832</v>
      </c>
    </row>
    <row r="369" spans="1:12" x14ac:dyDescent="0.55000000000000004">
      <c r="A369">
        <v>2016</v>
      </c>
      <c r="B369" t="s">
        <v>53</v>
      </c>
      <c r="C369" t="s">
        <v>226</v>
      </c>
      <c r="D369" t="s">
        <v>85</v>
      </c>
      <c r="E369">
        <v>80.3</v>
      </c>
      <c r="F369">
        <v>78.900000000000006</v>
      </c>
      <c r="G369">
        <v>3788</v>
      </c>
      <c r="H369">
        <v>3450</v>
      </c>
      <c r="I369">
        <v>3879</v>
      </c>
      <c r="J369">
        <v>3500</v>
      </c>
      <c r="K369">
        <v>3300</v>
      </c>
      <c r="L369">
        <v>4250</v>
      </c>
    </row>
    <row r="370" spans="1:12" x14ac:dyDescent="0.55000000000000004">
      <c r="A370">
        <v>2016</v>
      </c>
      <c r="B370" t="s">
        <v>53</v>
      </c>
      <c r="C370" t="s">
        <v>226</v>
      </c>
      <c r="D370" t="s">
        <v>227</v>
      </c>
      <c r="E370">
        <v>90.2</v>
      </c>
      <c r="F370">
        <v>78.400000000000006</v>
      </c>
      <c r="G370">
        <v>3381</v>
      </c>
      <c r="H370">
        <v>3300</v>
      </c>
      <c r="I370">
        <v>3501</v>
      </c>
      <c r="J370">
        <v>3540</v>
      </c>
      <c r="K370">
        <v>3200</v>
      </c>
      <c r="L370">
        <v>3900</v>
      </c>
    </row>
    <row r="371" spans="1:12" x14ac:dyDescent="0.55000000000000004">
      <c r="A371">
        <v>2016</v>
      </c>
      <c r="B371" t="s">
        <v>53</v>
      </c>
      <c r="C371" t="s">
        <v>226</v>
      </c>
      <c r="D371" t="s">
        <v>87</v>
      </c>
      <c r="E371">
        <v>86.6</v>
      </c>
      <c r="F371">
        <v>81</v>
      </c>
      <c r="G371">
        <v>3470</v>
      </c>
      <c r="H371">
        <v>3300</v>
      </c>
      <c r="I371">
        <v>3560</v>
      </c>
      <c r="J371">
        <v>3400</v>
      </c>
      <c r="K371">
        <v>3150</v>
      </c>
      <c r="L371">
        <v>3800</v>
      </c>
    </row>
    <row r="372" spans="1:12" x14ac:dyDescent="0.55000000000000004">
      <c r="A372">
        <v>2016</v>
      </c>
      <c r="B372" t="s">
        <v>53</v>
      </c>
      <c r="C372" t="s">
        <v>88</v>
      </c>
      <c r="D372" t="s">
        <v>192</v>
      </c>
      <c r="E372">
        <v>97.7</v>
      </c>
      <c r="F372">
        <v>95.9</v>
      </c>
      <c r="G372">
        <v>4844</v>
      </c>
      <c r="H372">
        <v>4775</v>
      </c>
      <c r="I372">
        <v>4898</v>
      </c>
      <c r="J372">
        <v>4900</v>
      </c>
      <c r="K372">
        <v>4200</v>
      </c>
      <c r="L372">
        <v>5600</v>
      </c>
    </row>
    <row r="373" spans="1:12" x14ac:dyDescent="0.55000000000000004">
      <c r="A373">
        <v>2016</v>
      </c>
      <c r="B373" t="s">
        <v>53</v>
      </c>
      <c r="C373" t="s">
        <v>96</v>
      </c>
      <c r="D373" t="s">
        <v>97</v>
      </c>
      <c r="E373" t="s">
        <v>42</v>
      </c>
      <c r="F373" t="s">
        <v>42</v>
      </c>
      <c r="G373" t="s">
        <v>42</v>
      </c>
      <c r="H373" t="s">
        <v>42</v>
      </c>
      <c r="I373" t="s">
        <v>42</v>
      </c>
      <c r="J373" t="s">
        <v>42</v>
      </c>
      <c r="K373" t="s">
        <v>42</v>
      </c>
      <c r="L373" t="s">
        <v>42</v>
      </c>
    </row>
    <row r="374" spans="1:12" x14ac:dyDescent="0.55000000000000004">
      <c r="A374">
        <v>2016</v>
      </c>
      <c r="B374" t="s">
        <v>53</v>
      </c>
      <c r="C374" t="s">
        <v>96</v>
      </c>
      <c r="D374" t="s">
        <v>98</v>
      </c>
      <c r="E374">
        <v>81</v>
      </c>
      <c r="F374">
        <v>61.9</v>
      </c>
      <c r="G374">
        <v>2905</v>
      </c>
      <c r="H374">
        <v>2800</v>
      </c>
      <c r="I374">
        <v>3058</v>
      </c>
      <c r="J374">
        <v>3130</v>
      </c>
      <c r="K374">
        <v>2800</v>
      </c>
      <c r="L374">
        <v>3350</v>
      </c>
    </row>
    <row r="375" spans="1:12" x14ac:dyDescent="0.55000000000000004">
      <c r="A375">
        <v>2016</v>
      </c>
      <c r="B375" t="s">
        <v>53</v>
      </c>
      <c r="C375" t="s">
        <v>96</v>
      </c>
      <c r="D375" t="s">
        <v>99</v>
      </c>
      <c r="E375">
        <v>84.3</v>
      </c>
      <c r="F375">
        <v>59.4</v>
      </c>
      <c r="G375">
        <v>2895</v>
      </c>
      <c r="H375">
        <v>3000</v>
      </c>
      <c r="I375">
        <v>2995</v>
      </c>
      <c r="J375">
        <v>3000</v>
      </c>
      <c r="K375">
        <v>2600</v>
      </c>
      <c r="L375">
        <v>3225</v>
      </c>
    </row>
    <row r="376" spans="1:12" x14ac:dyDescent="0.55000000000000004">
      <c r="A376">
        <v>2016</v>
      </c>
      <c r="B376" t="s">
        <v>53</v>
      </c>
      <c r="C376" t="s">
        <v>96</v>
      </c>
      <c r="D376" t="s">
        <v>100</v>
      </c>
      <c r="E376">
        <v>84.9</v>
      </c>
      <c r="F376">
        <v>71.7</v>
      </c>
      <c r="G376">
        <v>3331</v>
      </c>
      <c r="H376">
        <v>3300</v>
      </c>
      <c r="I376">
        <v>3386</v>
      </c>
      <c r="J376">
        <v>3300</v>
      </c>
      <c r="K376">
        <v>3000</v>
      </c>
      <c r="L376">
        <v>3650</v>
      </c>
    </row>
    <row r="377" spans="1:12" x14ac:dyDescent="0.55000000000000004">
      <c r="A377">
        <v>2016</v>
      </c>
      <c r="B377" t="s">
        <v>53</v>
      </c>
      <c r="C377" t="s">
        <v>96</v>
      </c>
      <c r="D377" t="s">
        <v>101</v>
      </c>
      <c r="E377" t="s">
        <v>42</v>
      </c>
      <c r="F377" t="s">
        <v>42</v>
      </c>
      <c r="G377" t="s">
        <v>42</v>
      </c>
      <c r="H377" t="s">
        <v>42</v>
      </c>
      <c r="I377" t="s">
        <v>42</v>
      </c>
      <c r="J377" t="s">
        <v>42</v>
      </c>
      <c r="K377" t="s">
        <v>42</v>
      </c>
      <c r="L377" t="s">
        <v>42</v>
      </c>
    </row>
    <row r="378" spans="1:12" x14ac:dyDescent="0.55000000000000004">
      <c r="A378">
        <v>2016</v>
      </c>
      <c r="B378" t="s">
        <v>53</v>
      </c>
      <c r="C378" t="s">
        <v>96</v>
      </c>
      <c r="D378" t="s">
        <v>228</v>
      </c>
      <c r="E378">
        <v>99.1</v>
      </c>
      <c r="F378">
        <v>97.2</v>
      </c>
      <c r="G378">
        <v>3500</v>
      </c>
      <c r="H378">
        <v>3500</v>
      </c>
      <c r="I378">
        <v>3597</v>
      </c>
      <c r="J378">
        <v>3600</v>
      </c>
      <c r="K378">
        <v>3300</v>
      </c>
      <c r="L378">
        <v>3950</v>
      </c>
    </row>
    <row r="379" spans="1:12" x14ac:dyDescent="0.55000000000000004">
      <c r="A379">
        <v>2016</v>
      </c>
      <c r="B379" t="s">
        <v>53</v>
      </c>
      <c r="C379" t="s">
        <v>58</v>
      </c>
      <c r="D379" t="s">
        <v>59</v>
      </c>
      <c r="E379">
        <v>93.6</v>
      </c>
      <c r="F379">
        <v>80.7</v>
      </c>
      <c r="G379">
        <v>3232</v>
      </c>
      <c r="H379">
        <v>3000</v>
      </c>
      <c r="I379">
        <v>3282</v>
      </c>
      <c r="J379">
        <v>3000</v>
      </c>
      <c r="K379">
        <v>2837</v>
      </c>
      <c r="L379">
        <v>3500</v>
      </c>
    </row>
    <row r="380" spans="1:12" x14ac:dyDescent="0.55000000000000004">
      <c r="A380">
        <v>2016</v>
      </c>
      <c r="B380" t="s">
        <v>53</v>
      </c>
      <c r="C380" t="s">
        <v>58</v>
      </c>
      <c r="D380" t="s">
        <v>60</v>
      </c>
      <c r="E380">
        <v>96.4</v>
      </c>
      <c r="F380">
        <v>92.8</v>
      </c>
      <c r="G380">
        <v>4126</v>
      </c>
      <c r="H380">
        <v>3600</v>
      </c>
      <c r="I380">
        <v>4207</v>
      </c>
      <c r="J380">
        <v>3620</v>
      </c>
      <c r="K380">
        <v>3258</v>
      </c>
      <c r="L380">
        <v>4500</v>
      </c>
    </row>
    <row r="381" spans="1:12" x14ac:dyDescent="0.55000000000000004">
      <c r="A381">
        <v>2016</v>
      </c>
      <c r="B381" t="s">
        <v>53</v>
      </c>
      <c r="C381" t="s">
        <v>58</v>
      </c>
      <c r="D381" t="s">
        <v>61</v>
      </c>
      <c r="E381">
        <v>88.6</v>
      </c>
      <c r="F381">
        <v>86.4</v>
      </c>
      <c r="G381">
        <v>2977</v>
      </c>
      <c r="H381">
        <v>2900</v>
      </c>
      <c r="I381">
        <v>3020</v>
      </c>
      <c r="J381">
        <v>2963</v>
      </c>
      <c r="K381">
        <v>2800</v>
      </c>
      <c r="L381">
        <v>3100</v>
      </c>
    </row>
    <row r="382" spans="1:12" x14ac:dyDescent="0.55000000000000004">
      <c r="A382">
        <v>2016</v>
      </c>
      <c r="B382" t="s">
        <v>53</v>
      </c>
      <c r="C382" t="s">
        <v>58</v>
      </c>
      <c r="D382" t="s">
        <v>62</v>
      </c>
      <c r="E382">
        <v>99</v>
      </c>
      <c r="F382">
        <v>99</v>
      </c>
      <c r="G382">
        <v>3435</v>
      </c>
      <c r="H382">
        <v>3000</v>
      </c>
      <c r="I382">
        <v>3465</v>
      </c>
      <c r="J382">
        <v>3075</v>
      </c>
      <c r="K382">
        <v>2900</v>
      </c>
      <c r="L382">
        <v>3800</v>
      </c>
    </row>
    <row r="383" spans="1:12" x14ac:dyDescent="0.55000000000000004">
      <c r="A383">
        <v>2016</v>
      </c>
      <c r="B383" t="s">
        <v>53</v>
      </c>
      <c r="C383" t="s">
        <v>63</v>
      </c>
      <c r="D383" t="s">
        <v>229</v>
      </c>
      <c r="E383" t="s">
        <v>42</v>
      </c>
      <c r="F383" t="s">
        <v>42</v>
      </c>
      <c r="G383" t="s">
        <v>42</v>
      </c>
      <c r="H383" t="s">
        <v>42</v>
      </c>
      <c r="I383" t="s">
        <v>42</v>
      </c>
      <c r="J383" t="s">
        <v>42</v>
      </c>
      <c r="K383" t="s">
        <v>42</v>
      </c>
      <c r="L383" t="s">
        <v>42</v>
      </c>
    </row>
    <row r="384" spans="1:12" x14ac:dyDescent="0.55000000000000004">
      <c r="A384">
        <v>2016</v>
      </c>
      <c r="B384" t="s">
        <v>53</v>
      </c>
      <c r="C384" t="s">
        <v>63</v>
      </c>
      <c r="D384" t="s">
        <v>67</v>
      </c>
      <c r="E384">
        <v>96.3</v>
      </c>
      <c r="F384">
        <v>93.3</v>
      </c>
      <c r="G384">
        <v>4320</v>
      </c>
      <c r="H384">
        <v>4000</v>
      </c>
      <c r="I384">
        <v>4385</v>
      </c>
      <c r="J384">
        <v>4000</v>
      </c>
      <c r="K384">
        <v>3500</v>
      </c>
      <c r="L384">
        <v>5000</v>
      </c>
    </row>
    <row r="385" spans="1:12" x14ac:dyDescent="0.55000000000000004">
      <c r="A385">
        <v>2016</v>
      </c>
      <c r="B385" t="s">
        <v>53</v>
      </c>
      <c r="C385" t="s">
        <v>63</v>
      </c>
      <c r="D385" t="s">
        <v>230</v>
      </c>
      <c r="E385" t="s">
        <v>42</v>
      </c>
      <c r="F385" t="s">
        <v>42</v>
      </c>
      <c r="G385" t="s">
        <v>42</v>
      </c>
      <c r="H385" t="s">
        <v>42</v>
      </c>
      <c r="I385" t="s">
        <v>42</v>
      </c>
      <c r="J385" t="s">
        <v>42</v>
      </c>
      <c r="K385" t="s">
        <v>42</v>
      </c>
      <c r="L385" t="s">
        <v>42</v>
      </c>
    </row>
    <row r="386" spans="1:12" x14ac:dyDescent="0.55000000000000004">
      <c r="A386">
        <v>2016</v>
      </c>
      <c r="B386" t="s">
        <v>53</v>
      </c>
      <c r="C386" t="s">
        <v>63</v>
      </c>
      <c r="D386" t="s">
        <v>69</v>
      </c>
      <c r="E386">
        <v>94</v>
      </c>
      <c r="F386">
        <v>94</v>
      </c>
      <c r="G386">
        <v>3875</v>
      </c>
      <c r="H386">
        <v>3800</v>
      </c>
      <c r="I386">
        <v>3969</v>
      </c>
      <c r="J386">
        <v>4000</v>
      </c>
      <c r="K386">
        <v>3365</v>
      </c>
      <c r="L386">
        <v>4500</v>
      </c>
    </row>
    <row r="387" spans="1:12" x14ac:dyDescent="0.55000000000000004">
      <c r="A387">
        <v>2016</v>
      </c>
      <c r="B387" t="s">
        <v>53</v>
      </c>
      <c r="C387" t="s">
        <v>231</v>
      </c>
      <c r="D387" t="s">
        <v>125</v>
      </c>
      <c r="E387">
        <v>93.2</v>
      </c>
      <c r="F387">
        <v>89.8</v>
      </c>
      <c r="G387">
        <v>3926</v>
      </c>
      <c r="H387">
        <v>4000</v>
      </c>
      <c r="I387">
        <v>3960</v>
      </c>
      <c r="J387">
        <v>4000</v>
      </c>
      <c r="K387">
        <v>3500</v>
      </c>
      <c r="L387">
        <v>4250</v>
      </c>
    </row>
    <row r="388" spans="1:12" x14ac:dyDescent="0.55000000000000004">
      <c r="A388">
        <v>2016</v>
      </c>
      <c r="B388" t="s">
        <v>53</v>
      </c>
      <c r="C388" t="s">
        <v>231</v>
      </c>
      <c r="D388" t="s">
        <v>74</v>
      </c>
      <c r="E388">
        <v>90.6</v>
      </c>
      <c r="F388">
        <v>65.599999999999994</v>
      </c>
      <c r="G388">
        <v>3282</v>
      </c>
      <c r="H388">
        <v>3000</v>
      </c>
      <c r="I388">
        <v>3320</v>
      </c>
      <c r="J388">
        <v>3000</v>
      </c>
      <c r="K388">
        <v>2900</v>
      </c>
      <c r="L388">
        <v>4000</v>
      </c>
    </row>
    <row r="389" spans="1:12" x14ac:dyDescent="0.55000000000000004">
      <c r="A389">
        <v>2016</v>
      </c>
      <c r="B389" t="s">
        <v>53</v>
      </c>
      <c r="C389" t="s">
        <v>231</v>
      </c>
      <c r="D389" t="s">
        <v>75</v>
      </c>
      <c r="E389">
        <v>87.8</v>
      </c>
      <c r="F389">
        <v>84.7</v>
      </c>
      <c r="G389">
        <v>3035</v>
      </c>
      <c r="H389">
        <v>3000</v>
      </c>
      <c r="I389">
        <v>3113</v>
      </c>
      <c r="J389">
        <v>3000</v>
      </c>
      <c r="K389">
        <v>2850</v>
      </c>
      <c r="L389">
        <v>3276</v>
      </c>
    </row>
    <row r="390" spans="1:12" x14ac:dyDescent="0.55000000000000004">
      <c r="A390">
        <v>2016</v>
      </c>
      <c r="B390" t="s">
        <v>53</v>
      </c>
      <c r="C390" t="s">
        <v>231</v>
      </c>
      <c r="D390" t="s">
        <v>76</v>
      </c>
      <c r="E390">
        <v>94.6</v>
      </c>
      <c r="F390">
        <v>92.4</v>
      </c>
      <c r="G390">
        <v>3247</v>
      </c>
      <c r="H390">
        <v>3000</v>
      </c>
      <c r="I390">
        <v>3368</v>
      </c>
      <c r="J390">
        <v>3200</v>
      </c>
      <c r="K390">
        <v>2950</v>
      </c>
      <c r="L390">
        <v>3735</v>
      </c>
    </row>
    <row r="391" spans="1:12" x14ac:dyDescent="0.55000000000000004">
      <c r="A391">
        <v>2016</v>
      </c>
      <c r="B391" t="s">
        <v>53</v>
      </c>
      <c r="C391" t="s">
        <v>232</v>
      </c>
      <c r="D391" t="s">
        <v>233</v>
      </c>
      <c r="E391">
        <v>99.4</v>
      </c>
      <c r="F391">
        <v>99.4</v>
      </c>
      <c r="G391">
        <v>4460</v>
      </c>
      <c r="H391">
        <v>4500</v>
      </c>
      <c r="I391">
        <v>4887</v>
      </c>
      <c r="J391">
        <v>5000</v>
      </c>
      <c r="K391">
        <v>4500</v>
      </c>
      <c r="L391">
        <v>5200</v>
      </c>
    </row>
    <row r="392" spans="1:12" x14ac:dyDescent="0.55000000000000004">
      <c r="A392">
        <v>2016</v>
      </c>
      <c r="B392" t="s">
        <v>53</v>
      </c>
      <c r="C392" t="s">
        <v>232</v>
      </c>
      <c r="D392" t="s">
        <v>92</v>
      </c>
      <c r="E392">
        <v>93.2</v>
      </c>
      <c r="F392">
        <v>90.9</v>
      </c>
      <c r="G392">
        <v>3166</v>
      </c>
      <c r="H392">
        <v>3200</v>
      </c>
      <c r="I392">
        <v>3363</v>
      </c>
      <c r="J392">
        <v>3400</v>
      </c>
      <c r="K392">
        <v>3200</v>
      </c>
      <c r="L392">
        <v>3425</v>
      </c>
    </row>
    <row r="393" spans="1:12" x14ac:dyDescent="0.55000000000000004">
      <c r="A393">
        <v>2016</v>
      </c>
      <c r="B393" t="s">
        <v>53</v>
      </c>
      <c r="C393" t="s">
        <v>232</v>
      </c>
      <c r="D393" t="s">
        <v>93</v>
      </c>
      <c r="E393">
        <v>95.1</v>
      </c>
      <c r="F393">
        <v>95.1</v>
      </c>
      <c r="G393">
        <v>3308</v>
      </c>
      <c r="H393">
        <v>3300</v>
      </c>
      <c r="I393">
        <v>3529</v>
      </c>
      <c r="J393">
        <v>3500</v>
      </c>
      <c r="K393">
        <v>3400</v>
      </c>
      <c r="L393">
        <v>3600</v>
      </c>
    </row>
    <row r="394" spans="1:12" x14ac:dyDescent="0.55000000000000004">
      <c r="A394">
        <v>2016</v>
      </c>
      <c r="B394" t="s">
        <v>53</v>
      </c>
      <c r="C394" t="s">
        <v>94</v>
      </c>
      <c r="D394" t="s">
        <v>193</v>
      </c>
      <c r="E394">
        <v>85.7</v>
      </c>
      <c r="F394">
        <v>14.3</v>
      </c>
      <c r="G394">
        <v>3250</v>
      </c>
      <c r="H394">
        <v>3250</v>
      </c>
      <c r="I394">
        <v>3250</v>
      </c>
      <c r="J394">
        <v>3250</v>
      </c>
      <c r="K394">
        <v>2999</v>
      </c>
      <c r="L394">
        <v>3500</v>
      </c>
    </row>
    <row r="395" spans="1:12" x14ac:dyDescent="0.55000000000000004">
      <c r="A395">
        <v>2016</v>
      </c>
      <c r="B395" t="s">
        <v>53</v>
      </c>
      <c r="C395" t="s">
        <v>234</v>
      </c>
      <c r="D395" t="s">
        <v>195</v>
      </c>
      <c r="E395">
        <v>83.8</v>
      </c>
      <c r="F395">
        <v>67.599999999999994</v>
      </c>
      <c r="G395">
        <v>3347</v>
      </c>
      <c r="H395">
        <v>3250</v>
      </c>
      <c r="I395">
        <v>3399</v>
      </c>
      <c r="J395">
        <v>3300</v>
      </c>
      <c r="K395">
        <v>3000</v>
      </c>
      <c r="L395">
        <v>3500</v>
      </c>
    </row>
    <row r="396" spans="1:12" x14ac:dyDescent="0.55000000000000004">
      <c r="A396">
        <v>2016</v>
      </c>
      <c r="B396" t="s">
        <v>103</v>
      </c>
      <c r="C396" t="s">
        <v>128</v>
      </c>
      <c r="D396" t="s">
        <v>196</v>
      </c>
      <c r="E396">
        <v>98.5</v>
      </c>
      <c r="F396">
        <v>96</v>
      </c>
      <c r="G396">
        <v>3390</v>
      </c>
      <c r="H396">
        <v>3000</v>
      </c>
      <c r="I396">
        <v>3455</v>
      </c>
      <c r="J396">
        <v>3000</v>
      </c>
      <c r="K396">
        <v>2900</v>
      </c>
      <c r="L396">
        <v>3600</v>
      </c>
    </row>
    <row r="397" spans="1:12" x14ac:dyDescent="0.55000000000000004">
      <c r="A397">
        <v>2016</v>
      </c>
      <c r="B397" t="s">
        <v>103</v>
      </c>
      <c r="C397" t="s">
        <v>128</v>
      </c>
      <c r="D397" t="s">
        <v>197</v>
      </c>
      <c r="E397">
        <v>100</v>
      </c>
      <c r="F397">
        <v>100</v>
      </c>
      <c r="G397">
        <v>3827</v>
      </c>
      <c r="H397">
        <v>3500</v>
      </c>
      <c r="I397">
        <v>3943</v>
      </c>
      <c r="J397">
        <v>3600</v>
      </c>
      <c r="K397">
        <v>3000</v>
      </c>
      <c r="L397">
        <v>4583</v>
      </c>
    </row>
    <row r="398" spans="1:12" x14ac:dyDescent="0.55000000000000004">
      <c r="A398">
        <v>2016</v>
      </c>
      <c r="B398" t="s">
        <v>103</v>
      </c>
      <c r="C398" t="s">
        <v>131</v>
      </c>
      <c r="D398" t="s">
        <v>198</v>
      </c>
      <c r="E398">
        <v>92.4</v>
      </c>
      <c r="F398">
        <v>84.6</v>
      </c>
      <c r="G398">
        <v>3727</v>
      </c>
      <c r="H398">
        <v>3400</v>
      </c>
      <c r="I398">
        <v>3831</v>
      </c>
      <c r="J398">
        <v>3500</v>
      </c>
      <c r="K398">
        <v>3000</v>
      </c>
      <c r="L398">
        <v>4000</v>
      </c>
    </row>
    <row r="399" spans="1:12" x14ac:dyDescent="0.55000000000000004">
      <c r="A399">
        <v>2016</v>
      </c>
      <c r="B399" t="s">
        <v>103</v>
      </c>
      <c r="C399" t="s">
        <v>131</v>
      </c>
      <c r="D399" t="s">
        <v>199</v>
      </c>
      <c r="E399">
        <v>96.1</v>
      </c>
      <c r="F399">
        <v>92.1</v>
      </c>
      <c r="G399">
        <v>4140</v>
      </c>
      <c r="H399">
        <v>3550</v>
      </c>
      <c r="I399">
        <v>4234</v>
      </c>
      <c r="J399">
        <v>3660</v>
      </c>
      <c r="K399">
        <v>3250</v>
      </c>
      <c r="L399">
        <v>4583</v>
      </c>
    </row>
    <row r="400" spans="1:12" x14ac:dyDescent="0.55000000000000004">
      <c r="A400">
        <v>2016</v>
      </c>
      <c r="B400" t="s">
        <v>103</v>
      </c>
      <c r="C400" t="s">
        <v>134</v>
      </c>
      <c r="D400" t="s">
        <v>35</v>
      </c>
      <c r="E400">
        <v>93.4</v>
      </c>
      <c r="F400">
        <v>84</v>
      </c>
      <c r="G400">
        <v>3801</v>
      </c>
      <c r="H400">
        <v>3500</v>
      </c>
      <c r="I400">
        <v>3906</v>
      </c>
      <c r="J400">
        <v>3700</v>
      </c>
      <c r="K400">
        <v>3200</v>
      </c>
      <c r="L400">
        <v>4300</v>
      </c>
    </row>
    <row r="401" spans="1:12" x14ac:dyDescent="0.55000000000000004">
      <c r="A401">
        <v>2016</v>
      </c>
      <c r="B401" t="s">
        <v>103</v>
      </c>
      <c r="C401" t="s">
        <v>134</v>
      </c>
      <c r="D401" t="s">
        <v>200</v>
      </c>
      <c r="E401">
        <v>97</v>
      </c>
      <c r="F401">
        <v>92.5</v>
      </c>
      <c r="G401">
        <v>4315</v>
      </c>
      <c r="H401">
        <v>4000</v>
      </c>
      <c r="I401">
        <v>4425</v>
      </c>
      <c r="J401">
        <v>4107</v>
      </c>
      <c r="K401">
        <v>3800</v>
      </c>
      <c r="L401">
        <v>4750</v>
      </c>
    </row>
    <row r="402" spans="1:12" x14ac:dyDescent="0.55000000000000004">
      <c r="A402">
        <v>2016</v>
      </c>
      <c r="B402" t="s">
        <v>103</v>
      </c>
      <c r="C402" t="s">
        <v>137</v>
      </c>
      <c r="D402" t="s">
        <v>201</v>
      </c>
      <c r="E402">
        <v>95.7</v>
      </c>
      <c r="F402">
        <v>91.5</v>
      </c>
      <c r="G402">
        <v>3837</v>
      </c>
      <c r="H402">
        <v>3500</v>
      </c>
      <c r="I402">
        <v>3897</v>
      </c>
      <c r="J402">
        <v>3600</v>
      </c>
      <c r="K402">
        <v>3200</v>
      </c>
      <c r="L402">
        <v>4167</v>
      </c>
    </row>
    <row r="403" spans="1:12" x14ac:dyDescent="0.55000000000000004">
      <c r="A403">
        <v>2016</v>
      </c>
      <c r="B403" t="s">
        <v>103</v>
      </c>
      <c r="C403" t="s">
        <v>137</v>
      </c>
      <c r="D403" t="s">
        <v>202</v>
      </c>
      <c r="E403">
        <v>97.5</v>
      </c>
      <c r="F403">
        <v>95</v>
      </c>
      <c r="G403">
        <v>4504</v>
      </c>
      <c r="H403">
        <v>4167</v>
      </c>
      <c r="I403">
        <v>4603</v>
      </c>
      <c r="J403">
        <v>4167</v>
      </c>
      <c r="K403">
        <v>3800</v>
      </c>
      <c r="L403">
        <v>4750</v>
      </c>
    </row>
    <row r="404" spans="1:12" x14ac:dyDescent="0.55000000000000004">
      <c r="A404">
        <v>2016</v>
      </c>
      <c r="B404" t="s">
        <v>103</v>
      </c>
      <c r="C404" t="s">
        <v>140</v>
      </c>
      <c r="D404" t="s">
        <v>203</v>
      </c>
      <c r="E404">
        <v>91.5</v>
      </c>
      <c r="F404">
        <v>80.400000000000006</v>
      </c>
      <c r="G404">
        <v>3199</v>
      </c>
      <c r="H404">
        <v>3100</v>
      </c>
      <c r="I404">
        <v>3311</v>
      </c>
      <c r="J404">
        <v>3145</v>
      </c>
      <c r="K404">
        <v>3000</v>
      </c>
      <c r="L404">
        <v>3500</v>
      </c>
    </row>
    <row r="405" spans="1:12" x14ac:dyDescent="0.55000000000000004">
      <c r="A405">
        <v>2016</v>
      </c>
      <c r="B405" t="s">
        <v>103</v>
      </c>
      <c r="C405" t="s">
        <v>140</v>
      </c>
      <c r="D405" t="s">
        <v>204</v>
      </c>
      <c r="E405">
        <v>94.9</v>
      </c>
      <c r="F405">
        <v>87.2</v>
      </c>
      <c r="G405">
        <v>3405</v>
      </c>
      <c r="H405">
        <v>3300</v>
      </c>
      <c r="I405">
        <v>3548</v>
      </c>
      <c r="J405">
        <v>3400</v>
      </c>
      <c r="K405">
        <v>3000</v>
      </c>
      <c r="L405">
        <v>3668</v>
      </c>
    </row>
    <row r="406" spans="1:12" x14ac:dyDescent="0.55000000000000004">
      <c r="A406">
        <v>2016</v>
      </c>
      <c r="B406" t="s">
        <v>103</v>
      </c>
      <c r="C406" t="s">
        <v>143</v>
      </c>
      <c r="D406" t="s">
        <v>205</v>
      </c>
      <c r="E406">
        <v>95.8</v>
      </c>
      <c r="F406">
        <v>93.7</v>
      </c>
      <c r="G406">
        <v>4810</v>
      </c>
      <c r="H406">
        <v>4600</v>
      </c>
      <c r="I406">
        <v>4915</v>
      </c>
      <c r="J406">
        <v>4850</v>
      </c>
      <c r="K406">
        <v>4200</v>
      </c>
      <c r="L406">
        <v>5800</v>
      </c>
    </row>
    <row r="407" spans="1:12" x14ac:dyDescent="0.55000000000000004">
      <c r="A407">
        <v>2016</v>
      </c>
      <c r="B407" t="s">
        <v>103</v>
      </c>
      <c r="C407" t="s">
        <v>143</v>
      </c>
      <c r="D407" t="s">
        <v>206</v>
      </c>
      <c r="E407">
        <v>96.7</v>
      </c>
      <c r="F407">
        <v>96.7</v>
      </c>
      <c r="G407">
        <v>4950</v>
      </c>
      <c r="H407">
        <v>4950</v>
      </c>
      <c r="I407">
        <v>5095</v>
      </c>
      <c r="J407">
        <v>5300</v>
      </c>
      <c r="K407">
        <v>4500</v>
      </c>
      <c r="L407">
        <v>5800</v>
      </c>
    </row>
    <row r="408" spans="1:12" x14ac:dyDescent="0.55000000000000004">
      <c r="A408">
        <v>2016</v>
      </c>
      <c r="B408" t="s">
        <v>146</v>
      </c>
      <c r="C408" t="s">
        <v>147</v>
      </c>
      <c r="D408" t="s">
        <v>212</v>
      </c>
      <c r="E408" t="s">
        <v>42</v>
      </c>
      <c r="F408" t="s">
        <v>42</v>
      </c>
      <c r="G408" t="s">
        <v>42</v>
      </c>
      <c r="H408" t="s">
        <v>42</v>
      </c>
      <c r="I408" t="s">
        <v>42</v>
      </c>
      <c r="J408" t="s">
        <v>42</v>
      </c>
      <c r="K408" t="s">
        <v>42</v>
      </c>
      <c r="L408" t="s">
        <v>42</v>
      </c>
    </row>
    <row r="409" spans="1:12" x14ac:dyDescent="0.55000000000000004">
      <c r="A409">
        <v>2016</v>
      </c>
      <c r="B409" t="s">
        <v>146</v>
      </c>
      <c r="C409" t="s">
        <v>147</v>
      </c>
      <c r="D409" t="s">
        <v>149</v>
      </c>
      <c r="E409">
        <v>73.3</v>
      </c>
      <c r="F409">
        <v>53.3</v>
      </c>
      <c r="G409">
        <v>3045</v>
      </c>
      <c r="H409">
        <v>3000</v>
      </c>
      <c r="I409">
        <v>3052</v>
      </c>
      <c r="J409">
        <v>3000</v>
      </c>
      <c r="K409">
        <v>2700</v>
      </c>
      <c r="L409">
        <v>3016</v>
      </c>
    </row>
    <row r="410" spans="1:12" x14ac:dyDescent="0.55000000000000004">
      <c r="A410">
        <v>2016</v>
      </c>
      <c r="B410" t="s">
        <v>146</v>
      </c>
      <c r="C410" t="s">
        <v>147</v>
      </c>
      <c r="D410" t="s">
        <v>150</v>
      </c>
      <c r="E410">
        <v>85.7</v>
      </c>
      <c r="F410">
        <v>85.7</v>
      </c>
      <c r="G410">
        <v>3312</v>
      </c>
      <c r="H410">
        <v>3400</v>
      </c>
      <c r="I410">
        <v>3329</v>
      </c>
      <c r="J410">
        <v>3400</v>
      </c>
      <c r="K410">
        <v>3100</v>
      </c>
      <c r="L410">
        <v>3500</v>
      </c>
    </row>
    <row r="411" spans="1:12" x14ac:dyDescent="0.55000000000000004">
      <c r="A411">
        <v>2016</v>
      </c>
      <c r="B411" t="s">
        <v>146</v>
      </c>
      <c r="C411" t="s">
        <v>147</v>
      </c>
      <c r="D411" t="s">
        <v>151</v>
      </c>
      <c r="E411">
        <v>100</v>
      </c>
      <c r="F411">
        <v>92.9</v>
      </c>
      <c r="G411">
        <v>3729</v>
      </c>
      <c r="H411">
        <v>3680</v>
      </c>
      <c r="I411">
        <v>3803</v>
      </c>
      <c r="J411">
        <v>4000</v>
      </c>
      <c r="K411">
        <v>3500</v>
      </c>
      <c r="L411">
        <v>4200</v>
      </c>
    </row>
    <row r="412" spans="1:12" x14ac:dyDescent="0.55000000000000004">
      <c r="A412">
        <v>2016</v>
      </c>
      <c r="B412" t="s">
        <v>146</v>
      </c>
      <c r="C412" t="s">
        <v>152</v>
      </c>
      <c r="D412" t="s">
        <v>153</v>
      </c>
      <c r="E412">
        <v>91.1</v>
      </c>
      <c r="F412">
        <v>58.9</v>
      </c>
      <c r="G412">
        <v>2652</v>
      </c>
      <c r="H412">
        <v>2600</v>
      </c>
      <c r="I412">
        <v>2652</v>
      </c>
      <c r="J412">
        <v>2600</v>
      </c>
      <c r="K412">
        <v>2500</v>
      </c>
      <c r="L412">
        <v>2700</v>
      </c>
    </row>
    <row r="413" spans="1:12" x14ac:dyDescent="0.55000000000000004">
      <c r="A413">
        <v>2016</v>
      </c>
      <c r="B413" t="s">
        <v>146</v>
      </c>
      <c r="C413" t="s">
        <v>152</v>
      </c>
      <c r="D413" t="s">
        <v>154</v>
      </c>
      <c r="E413">
        <v>97.4</v>
      </c>
      <c r="F413">
        <v>76.3</v>
      </c>
      <c r="G413">
        <v>2467</v>
      </c>
      <c r="H413">
        <v>2500</v>
      </c>
      <c r="I413">
        <v>2485</v>
      </c>
      <c r="J413">
        <v>2515</v>
      </c>
      <c r="K413">
        <v>2200</v>
      </c>
      <c r="L413">
        <v>2800</v>
      </c>
    </row>
    <row r="414" spans="1:12" x14ac:dyDescent="0.55000000000000004">
      <c r="A414">
        <v>2016</v>
      </c>
      <c r="B414" t="s">
        <v>146</v>
      </c>
      <c r="C414" t="s">
        <v>155</v>
      </c>
      <c r="D414" t="s">
        <v>156</v>
      </c>
      <c r="E414">
        <v>85.9</v>
      </c>
      <c r="F414">
        <v>71.8</v>
      </c>
      <c r="G414">
        <v>3201</v>
      </c>
      <c r="H414">
        <v>3100</v>
      </c>
      <c r="I414">
        <v>3463</v>
      </c>
      <c r="J414">
        <v>3300</v>
      </c>
      <c r="K414">
        <v>3080</v>
      </c>
      <c r="L414">
        <v>3650</v>
      </c>
    </row>
    <row r="415" spans="1:12" x14ac:dyDescent="0.55000000000000004">
      <c r="A415">
        <v>2016</v>
      </c>
      <c r="B415" t="s">
        <v>146</v>
      </c>
      <c r="C415" t="s">
        <v>155</v>
      </c>
      <c r="D415" t="s">
        <v>214</v>
      </c>
      <c r="E415">
        <v>86.4</v>
      </c>
      <c r="F415">
        <v>79.7</v>
      </c>
      <c r="G415">
        <v>3239</v>
      </c>
      <c r="H415">
        <v>3000</v>
      </c>
      <c r="I415">
        <v>3440</v>
      </c>
      <c r="J415">
        <v>3200</v>
      </c>
      <c r="K415">
        <v>2800</v>
      </c>
      <c r="L415">
        <v>3700</v>
      </c>
    </row>
    <row r="416" spans="1:12" x14ac:dyDescent="0.55000000000000004">
      <c r="A416">
        <v>2016</v>
      </c>
      <c r="B416" t="s">
        <v>146</v>
      </c>
      <c r="C416" t="s">
        <v>155</v>
      </c>
      <c r="D416" t="s">
        <v>157</v>
      </c>
      <c r="E416">
        <v>95.2</v>
      </c>
      <c r="F416">
        <v>81</v>
      </c>
      <c r="G416">
        <v>3812</v>
      </c>
      <c r="H416">
        <v>3425</v>
      </c>
      <c r="I416">
        <v>3956</v>
      </c>
      <c r="J416">
        <v>3840</v>
      </c>
      <c r="K416">
        <v>3200</v>
      </c>
      <c r="L416">
        <v>4530</v>
      </c>
    </row>
    <row r="417" spans="1:12" x14ac:dyDescent="0.55000000000000004">
      <c r="A417">
        <v>2016</v>
      </c>
      <c r="B417" t="s">
        <v>146</v>
      </c>
      <c r="C417" t="s">
        <v>155</v>
      </c>
      <c r="D417" t="s">
        <v>158</v>
      </c>
      <c r="E417">
        <v>87</v>
      </c>
      <c r="F417">
        <v>77.8</v>
      </c>
      <c r="G417">
        <v>3162</v>
      </c>
      <c r="H417">
        <v>3000</v>
      </c>
      <c r="I417">
        <v>3344</v>
      </c>
      <c r="J417">
        <v>3200</v>
      </c>
      <c r="K417">
        <v>2900</v>
      </c>
      <c r="L417">
        <v>3575</v>
      </c>
    </row>
    <row r="418" spans="1:12" x14ac:dyDescent="0.55000000000000004">
      <c r="A418">
        <v>2016</v>
      </c>
      <c r="B418" t="s">
        <v>146</v>
      </c>
      <c r="C418" t="s">
        <v>155</v>
      </c>
      <c r="D418" t="s">
        <v>159</v>
      </c>
      <c r="E418">
        <v>90</v>
      </c>
      <c r="F418">
        <v>90</v>
      </c>
      <c r="G418">
        <v>3172</v>
      </c>
      <c r="H418">
        <v>3250</v>
      </c>
      <c r="I418">
        <v>3239</v>
      </c>
      <c r="J418">
        <v>3300</v>
      </c>
      <c r="K418">
        <v>3000</v>
      </c>
      <c r="L418">
        <v>3500</v>
      </c>
    </row>
    <row r="419" spans="1:12" x14ac:dyDescent="0.55000000000000004">
      <c r="A419">
        <v>2016</v>
      </c>
      <c r="B419" t="s">
        <v>146</v>
      </c>
      <c r="C419" t="s">
        <v>155</v>
      </c>
      <c r="D419" t="s">
        <v>160</v>
      </c>
      <c r="E419">
        <v>86.4</v>
      </c>
      <c r="F419">
        <v>72.7</v>
      </c>
      <c r="G419">
        <v>3172</v>
      </c>
      <c r="H419">
        <v>3275</v>
      </c>
      <c r="I419">
        <v>3286</v>
      </c>
      <c r="J419">
        <v>3430</v>
      </c>
      <c r="K419">
        <v>3000</v>
      </c>
      <c r="L419">
        <v>3600</v>
      </c>
    </row>
    <row r="420" spans="1:12" x14ac:dyDescent="0.55000000000000004">
      <c r="A420">
        <v>2016</v>
      </c>
      <c r="B420" t="s">
        <v>146</v>
      </c>
      <c r="C420" t="s">
        <v>155</v>
      </c>
      <c r="D420" t="s">
        <v>161</v>
      </c>
      <c r="E420">
        <v>86.7</v>
      </c>
      <c r="F420">
        <v>62.2</v>
      </c>
      <c r="G420">
        <v>2598</v>
      </c>
      <c r="H420">
        <v>2600</v>
      </c>
      <c r="I420">
        <v>2707</v>
      </c>
      <c r="J420">
        <v>2600</v>
      </c>
      <c r="K420">
        <v>2420</v>
      </c>
      <c r="L420">
        <v>2800</v>
      </c>
    </row>
    <row r="421" spans="1:12" x14ac:dyDescent="0.55000000000000004">
      <c r="A421">
        <v>2016</v>
      </c>
      <c r="B421" t="s">
        <v>146</v>
      </c>
      <c r="C421" t="s">
        <v>162</v>
      </c>
      <c r="D421" t="s">
        <v>163</v>
      </c>
      <c r="E421">
        <v>78.599999999999994</v>
      </c>
      <c r="F421">
        <v>67.900000000000006</v>
      </c>
      <c r="G421">
        <v>2776</v>
      </c>
      <c r="H421">
        <v>2900</v>
      </c>
      <c r="I421">
        <v>3149</v>
      </c>
      <c r="J421">
        <v>3130</v>
      </c>
      <c r="K421">
        <v>2500</v>
      </c>
      <c r="L421">
        <v>3700</v>
      </c>
    </row>
    <row r="422" spans="1:12" x14ac:dyDescent="0.55000000000000004">
      <c r="A422">
        <v>2016</v>
      </c>
      <c r="B422" t="s">
        <v>146</v>
      </c>
      <c r="C422" t="s">
        <v>162</v>
      </c>
      <c r="D422" t="s">
        <v>164</v>
      </c>
      <c r="E422">
        <v>90.9</v>
      </c>
      <c r="F422">
        <v>86.4</v>
      </c>
      <c r="G422">
        <v>2978</v>
      </c>
      <c r="H422">
        <v>3000</v>
      </c>
      <c r="I422">
        <v>3042</v>
      </c>
      <c r="J422">
        <v>3000</v>
      </c>
      <c r="K422">
        <v>2825</v>
      </c>
      <c r="L422">
        <v>3350</v>
      </c>
    </row>
    <row r="423" spans="1:12" x14ac:dyDescent="0.55000000000000004">
      <c r="A423">
        <v>2016</v>
      </c>
      <c r="B423" t="s">
        <v>146</v>
      </c>
      <c r="C423" t="s">
        <v>165</v>
      </c>
      <c r="D423" t="s">
        <v>166</v>
      </c>
      <c r="E423">
        <v>86.2</v>
      </c>
      <c r="F423">
        <v>69</v>
      </c>
      <c r="G423">
        <v>2231</v>
      </c>
      <c r="H423">
        <v>2250</v>
      </c>
      <c r="I423">
        <v>2344</v>
      </c>
      <c r="J423">
        <v>2300</v>
      </c>
      <c r="K423">
        <v>2000</v>
      </c>
      <c r="L423">
        <v>2500</v>
      </c>
    </row>
    <row r="424" spans="1:12" x14ac:dyDescent="0.55000000000000004">
      <c r="A424">
        <v>2016</v>
      </c>
      <c r="B424" t="s">
        <v>146</v>
      </c>
      <c r="C424" t="s">
        <v>235</v>
      </c>
      <c r="D424" t="s">
        <v>216</v>
      </c>
      <c r="E424">
        <v>88.2</v>
      </c>
      <c r="F424">
        <v>88.2</v>
      </c>
      <c r="G424">
        <v>3406</v>
      </c>
      <c r="H424">
        <v>3385</v>
      </c>
      <c r="I424">
        <v>3628</v>
      </c>
      <c r="J424">
        <v>3660</v>
      </c>
      <c r="K424">
        <v>3400</v>
      </c>
      <c r="L424">
        <v>3930</v>
      </c>
    </row>
    <row r="425" spans="1:12" x14ac:dyDescent="0.55000000000000004">
      <c r="A425">
        <v>2016</v>
      </c>
      <c r="B425" t="s">
        <v>146</v>
      </c>
      <c r="C425" t="s">
        <v>235</v>
      </c>
      <c r="D425" t="s">
        <v>168</v>
      </c>
      <c r="E425">
        <v>100</v>
      </c>
      <c r="F425">
        <v>100</v>
      </c>
      <c r="G425">
        <v>3297</v>
      </c>
      <c r="H425">
        <v>3200</v>
      </c>
      <c r="I425">
        <v>3301</v>
      </c>
      <c r="J425">
        <v>3200</v>
      </c>
      <c r="K425">
        <v>3100</v>
      </c>
      <c r="L425">
        <v>3500</v>
      </c>
    </row>
    <row r="426" spans="1:12" x14ac:dyDescent="0.55000000000000004">
      <c r="A426">
        <v>2016</v>
      </c>
      <c r="B426" t="s">
        <v>146</v>
      </c>
      <c r="C426" t="s">
        <v>235</v>
      </c>
      <c r="D426" t="s">
        <v>169</v>
      </c>
      <c r="E426">
        <v>100</v>
      </c>
      <c r="F426">
        <v>100</v>
      </c>
      <c r="G426">
        <v>3310</v>
      </c>
      <c r="H426">
        <v>3300</v>
      </c>
      <c r="I426">
        <v>3344</v>
      </c>
      <c r="J426">
        <v>3300</v>
      </c>
      <c r="K426">
        <v>3240</v>
      </c>
      <c r="L426">
        <v>3500</v>
      </c>
    </row>
    <row r="427" spans="1:12" x14ac:dyDescent="0.55000000000000004">
      <c r="A427">
        <v>2016</v>
      </c>
      <c r="B427" t="s">
        <v>146</v>
      </c>
      <c r="C427" t="s">
        <v>235</v>
      </c>
      <c r="D427" t="s">
        <v>217</v>
      </c>
      <c r="E427" t="s">
        <v>42</v>
      </c>
      <c r="F427" t="s">
        <v>42</v>
      </c>
      <c r="G427" t="s">
        <v>42</v>
      </c>
      <c r="H427" t="s">
        <v>42</v>
      </c>
      <c r="I427" t="s">
        <v>42</v>
      </c>
      <c r="J427" t="s">
        <v>42</v>
      </c>
      <c r="K427" t="s">
        <v>42</v>
      </c>
      <c r="L427" t="s">
        <v>42</v>
      </c>
    </row>
    <row r="428" spans="1:12" x14ac:dyDescent="0.55000000000000004">
      <c r="A428">
        <v>2016</v>
      </c>
      <c r="B428" t="s">
        <v>146</v>
      </c>
      <c r="C428" t="s">
        <v>170</v>
      </c>
      <c r="D428" t="s">
        <v>171</v>
      </c>
      <c r="E428">
        <v>81.599999999999994</v>
      </c>
      <c r="F428">
        <v>65.3</v>
      </c>
      <c r="G428">
        <v>3042</v>
      </c>
      <c r="H428">
        <v>3000</v>
      </c>
      <c r="I428">
        <v>3277</v>
      </c>
      <c r="J428">
        <v>3200</v>
      </c>
      <c r="K428">
        <v>2800</v>
      </c>
      <c r="L428">
        <v>3700</v>
      </c>
    </row>
    <row r="429" spans="1:12" x14ac:dyDescent="0.55000000000000004">
      <c r="A429">
        <v>2016</v>
      </c>
      <c r="B429" t="s">
        <v>146</v>
      </c>
      <c r="C429" t="s">
        <v>170</v>
      </c>
      <c r="D429" t="s">
        <v>172</v>
      </c>
      <c r="E429">
        <v>82.2</v>
      </c>
      <c r="F429">
        <v>64.400000000000006</v>
      </c>
      <c r="G429">
        <v>3312</v>
      </c>
      <c r="H429">
        <v>3225</v>
      </c>
      <c r="I429">
        <v>3390</v>
      </c>
      <c r="J429">
        <v>3275</v>
      </c>
      <c r="K429">
        <v>2900</v>
      </c>
      <c r="L429">
        <v>4009</v>
      </c>
    </row>
    <row r="430" spans="1:12" x14ac:dyDescent="0.55000000000000004">
      <c r="A430">
        <v>2016</v>
      </c>
      <c r="B430" t="s">
        <v>146</v>
      </c>
      <c r="C430" t="s">
        <v>170</v>
      </c>
      <c r="D430" t="s">
        <v>173</v>
      </c>
      <c r="E430">
        <v>87</v>
      </c>
      <c r="F430">
        <v>70.400000000000006</v>
      </c>
      <c r="G430">
        <v>3187</v>
      </c>
      <c r="H430">
        <v>3000</v>
      </c>
      <c r="I430">
        <v>3273</v>
      </c>
      <c r="J430">
        <v>3200</v>
      </c>
      <c r="K430">
        <v>3000</v>
      </c>
      <c r="L430">
        <v>3365</v>
      </c>
    </row>
    <row r="431" spans="1:12" x14ac:dyDescent="0.55000000000000004">
      <c r="A431">
        <v>2016</v>
      </c>
      <c r="B431" t="s">
        <v>146</v>
      </c>
      <c r="C431" t="s">
        <v>170</v>
      </c>
      <c r="D431" t="s">
        <v>174</v>
      </c>
      <c r="E431">
        <v>88.7</v>
      </c>
      <c r="F431">
        <v>80.3</v>
      </c>
      <c r="G431">
        <v>3406</v>
      </c>
      <c r="H431">
        <v>3200</v>
      </c>
      <c r="I431">
        <v>3523</v>
      </c>
      <c r="J431">
        <v>3300</v>
      </c>
      <c r="K431">
        <v>3000</v>
      </c>
      <c r="L431">
        <v>3800</v>
      </c>
    </row>
    <row r="432" spans="1:12" x14ac:dyDescent="0.55000000000000004">
      <c r="A432">
        <v>2016</v>
      </c>
      <c r="B432" t="s">
        <v>146</v>
      </c>
      <c r="C432" t="s">
        <v>170</v>
      </c>
      <c r="D432" t="s">
        <v>218</v>
      </c>
      <c r="E432">
        <v>89.8</v>
      </c>
      <c r="F432">
        <v>81.599999999999994</v>
      </c>
      <c r="G432">
        <v>3645</v>
      </c>
      <c r="H432">
        <v>3600</v>
      </c>
      <c r="I432">
        <v>3704</v>
      </c>
      <c r="J432">
        <v>3600</v>
      </c>
      <c r="K432">
        <v>3400</v>
      </c>
      <c r="L432">
        <v>3900</v>
      </c>
    </row>
    <row r="433" spans="1:12" x14ac:dyDescent="0.55000000000000004">
      <c r="A433">
        <v>2016</v>
      </c>
      <c r="B433" t="s">
        <v>146</v>
      </c>
      <c r="C433" t="s">
        <v>175</v>
      </c>
      <c r="D433" t="s">
        <v>176</v>
      </c>
      <c r="E433">
        <v>92.7</v>
      </c>
      <c r="F433">
        <v>85.5</v>
      </c>
      <c r="G433">
        <v>3378</v>
      </c>
      <c r="H433">
        <v>3400</v>
      </c>
      <c r="I433">
        <v>3600</v>
      </c>
      <c r="J433">
        <v>3600</v>
      </c>
      <c r="K433">
        <v>3400</v>
      </c>
      <c r="L433">
        <v>3750</v>
      </c>
    </row>
    <row r="434" spans="1:12" x14ac:dyDescent="0.55000000000000004">
      <c r="A434">
        <v>2016</v>
      </c>
      <c r="B434" t="s">
        <v>146</v>
      </c>
      <c r="C434" t="s">
        <v>236</v>
      </c>
      <c r="D434" t="s">
        <v>237</v>
      </c>
      <c r="E434">
        <v>92.6</v>
      </c>
      <c r="F434">
        <v>81.5</v>
      </c>
      <c r="G434">
        <v>4096</v>
      </c>
      <c r="H434">
        <v>4200</v>
      </c>
      <c r="I434">
        <v>4131</v>
      </c>
      <c r="J434">
        <v>4200</v>
      </c>
      <c r="K434">
        <v>3700</v>
      </c>
      <c r="L434">
        <v>4600</v>
      </c>
    </row>
    <row r="435" spans="1:12" x14ac:dyDescent="0.55000000000000004">
      <c r="A435">
        <v>2016</v>
      </c>
      <c r="B435" t="s">
        <v>146</v>
      </c>
      <c r="C435" t="s">
        <v>179</v>
      </c>
      <c r="D435" t="s">
        <v>180</v>
      </c>
      <c r="E435">
        <v>98</v>
      </c>
      <c r="F435">
        <v>92</v>
      </c>
      <c r="G435">
        <v>2705</v>
      </c>
      <c r="H435">
        <v>2700</v>
      </c>
      <c r="I435">
        <v>2707</v>
      </c>
      <c r="J435">
        <v>2700</v>
      </c>
      <c r="K435">
        <v>2600</v>
      </c>
      <c r="L435">
        <v>2850</v>
      </c>
    </row>
    <row r="436" spans="1:12" x14ac:dyDescent="0.55000000000000004">
      <c r="A436">
        <v>2016</v>
      </c>
      <c r="B436" t="s">
        <v>207</v>
      </c>
      <c r="C436" t="s">
        <v>42</v>
      </c>
      <c r="D436" t="s">
        <v>208</v>
      </c>
      <c r="E436">
        <v>87</v>
      </c>
      <c r="F436">
        <v>79.7</v>
      </c>
      <c r="G436">
        <v>3620</v>
      </c>
      <c r="H436">
        <v>3500</v>
      </c>
      <c r="I436">
        <v>3690</v>
      </c>
      <c r="J436">
        <v>3600</v>
      </c>
      <c r="K436">
        <v>3300</v>
      </c>
      <c r="L436">
        <v>3750</v>
      </c>
    </row>
    <row r="437" spans="1:12" x14ac:dyDescent="0.55000000000000004">
      <c r="A437">
        <v>2016</v>
      </c>
      <c r="B437" t="s">
        <v>207</v>
      </c>
      <c r="C437" t="s">
        <v>42</v>
      </c>
      <c r="D437" t="s">
        <v>210</v>
      </c>
      <c r="E437">
        <v>91.9</v>
      </c>
      <c r="F437">
        <v>91.9</v>
      </c>
      <c r="G437">
        <v>4197</v>
      </c>
      <c r="H437">
        <v>4000</v>
      </c>
      <c r="I437">
        <v>4232</v>
      </c>
      <c r="J437">
        <v>4000</v>
      </c>
      <c r="K437">
        <v>3500</v>
      </c>
      <c r="L437">
        <v>4950</v>
      </c>
    </row>
    <row r="438" spans="1:12" x14ac:dyDescent="0.55000000000000004">
      <c r="A438">
        <v>2016</v>
      </c>
      <c r="B438" t="s">
        <v>207</v>
      </c>
      <c r="C438" t="s">
        <v>42</v>
      </c>
      <c r="D438" t="s">
        <v>209</v>
      </c>
      <c r="E438">
        <v>100</v>
      </c>
      <c r="F438">
        <v>93.5</v>
      </c>
      <c r="G438">
        <v>3695</v>
      </c>
      <c r="H438">
        <v>3600</v>
      </c>
      <c r="I438">
        <v>3830</v>
      </c>
      <c r="J438">
        <v>3650</v>
      </c>
      <c r="K438">
        <v>3550</v>
      </c>
      <c r="L438">
        <v>4200</v>
      </c>
    </row>
    <row r="439" spans="1:12" x14ac:dyDescent="0.55000000000000004">
      <c r="A439">
        <v>2016</v>
      </c>
      <c r="B439" t="s">
        <v>207</v>
      </c>
      <c r="C439" t="s">
        <v>42</v>
      </c>
      <c r="D439" t="s">
        <v>238</v>
      </c>
      <c r="E439" t="s">
        <v>42</v>
      </c>
      <c r="F439" t="s">
        <v>42</v>
      </c>
      <c r="G439" t="s">
        <v>42</v>
      </c>
      <c r="H439" t="s">
        <v>42</v>
      </c>
      <c r="I439" t="s">
        <v>42</v>
      </c>
      <c r="J439" t="s">
        <v>42</v>
      </c>
      <c r="K439" t="s">
        <v>42</v>
      </c>
      <c r="L439" t="s">
        <v>42</v>
      </c>
    </row>
    <row r="440" spans="1:12" x14ac:dyDescent="0.55000000000000004">
      <c r="A440">
        <v>2017</v>
      </c>
      <c r="B440" t="s">
        <v>12</v>
      </c>
      <c r="C440" t="s">
        <v>13</v>
      </c>
      <c r="D440" t="s">
        <v>239</v>
      </c>
      <c r="E440">
        <v>97.1</v>
      </c>
      <c r="F440">
        <v>94.5</v>
      </c>
      <c r="G440">
        <v>3121</v>
      </c>
      <c r="H440">
        <v>3000</v>
      </c>
      <c r="I440">
        <v>3166</v>
      </c>
      <c r="J440">
        <v>3000</v>
      </c>
      <c r="K440">
        <v>2900</v>
      </c>
      <c r="L440">
        <v>3100</v>
      </c>
    </row>
    <row r="441" spans="1:12" x14ac:dyDescent="0.55000000000000004">
      <c r="A441">
        <v>2017</v>
      </c>
      <c r="B441" t="s">
        <v>12</v>
      </c>
      <c r="C441" t="s">
        <v>13</v>
      </c>
      <c r="D441" t="s">
        <v>240</v>
      </c>
      <c r="E441">
        <v>97.2</v>
      </c>
      <c r="F441">
        <v>94.3</v>
      </c>
      <c r="G441">
        <v>3830</v>
      </c>
      <c r="H441">
        <v>3500</v>
      </c>
      <c r="I441">
        <v>3892</v>
      </c>
      <c r="J441">
        <v>3600</v>
      </c>
      <c r="K441">
        <v>3013</v>
      </c>
      <c r="L441">
        <v>4317</v>
      </c>
    </row>
    <row r="442" spans="1:12" x14ac:dyDescent="0.55000000000000004">
      <c r="A442">
        <v>2017</v>
      </c>
      <c r="B442" t="s">
        <v>12</v>
      </c>
      <c r="C442" t="s">
        <v>13</v>
      </c>
      <c r="D442" t="s">
        <v>241</v>
      </c>
      <c r="E442">
        <v>93</v>
      </c>
      <c r="F442">
        <v>80.8</v>
      </c>
      <c r="G442">
        <v>3530</v>
      </c>
      <c r="H442">
        <v>3300</v>
      </c>
      <c r="I442">
        <v>3643</v>
      </c>
      <c r="J442">
        <v>3300</v>
      </c>
      <c r="K442">
        <v>3000</v>
      </c>
      <c r="L442">
        <v>3800</v>
      </c>
    </row>
    <row r="443" spans="1:12" x14ac:dyDescent="0.55000000000000004">
      <c r="A443">
        <v>2017</v>
      </c>
      <c r="B443" t="s">
        <v>12</v>
      </c>
      <c r="C443" t="s">
        <v>13</v>
      </c>
      <c r="D443" t="s">
        <v>242</v>
      </c>
      <c r="E443">
        <v>100</v>
      </c>
      <c r="F443">
        <v>95</v>
      </c>
      <c r="G443">
        <v>5036</v>
      </c>
      <c r="H443">
        <v>4750</v>
      </c>
      <c r="I443">
        <v>5225</v>
      </c>
      <c r="J443">
        <v>5000</v>
      </c>
      <c r="K443">
        <v>4000</v>
      </c>
      <c r="L443">
        <v>5362</v>
      </c>
    </row>
    <row r="444" spans="1:12" x14ac:dyDescent="0.55000000000000004">
      <c r="A444">
        <v>2017</v>
      </c>
      <c r="B444" t="s">
        <v>12</v>
      </c>
      <c r="C444" t="s">
        <v>18</v>
      </c>
      <c r="D444" t="s">
        <v>243</v>
      </c>
      <c r="E444">
        <v>80</v>
      </c>
      <c r="F444">
        <v>75</v>
      </c>
      <c r="G444">
        <v>3645</v>
      </c>
      <c r="H444">
        <v>3492</v>
      </c>
      <c r="I444">
        <v>3702</v>
      </c>
      <c r="J444">
        <v>3500</v>
      </c>
      <c r="K444">
        <v>3250</v>
      </c>
      <c r="L444">
        <v>4210</v>
      </c>
    </row>
    <row r="445" spans="1:12" x14ac:dyDescent="0.55000000000000004">
      <c r="A445">
        <v>2017</v>
      </c>
      <c r="B445" t="s">
        <v>12</v>
      </c>
      <c r="C445" t="s">
        <v>18</v>
      </c>
      <c r="D445" t="s">
        <v>244</v>
      </c>
      <c r="E445" t="s">
        <v>42</v>
      </c>
      <c r="F445" t="s">
        <v>42</v>
      </c>
      <c r="G445" t="s">
        <v>42</v>
      </c>
      <c r="H445" t="s">
        <v>42</v>
      </c>
      <c r="I445" t="s">
        <v>42</v>
      </c>
      <c r="J445" t="s">
        <v>42</v>
      </c>
      <c r="K445" t="s">
        <v>42</v>
      </c>
      <c r="L445" t="s">
        <v>42</v>
      </c>
    </row>
    <row r="446" spans="1:12" x14ac:dyDescent="0.55000000000000004">
      <c r="A446">
        <v>2017</v>
      </c>
      <c r="B446" t="s">
        <v>12</v>
      </c>
      <c r="C446" t="s">
        <v>18</v>
      </c>
      <c r="D446" t="s">
        <v>245</v>
      </c>
      <c r="E446">
        <v>78.3</v>
      </c>
      <c r="F446">
        <v>65.2</v>
      </c>
      <c r="G446">
        <v>3326</v>
      </c>
      <c r="H446">
        <v>3200</v>
      </c>
      <c r="I446">
        <v>3486</v>
      </c>
      <c r="J446">
        <v>3419</v>
      </c>
      <c r="K446">
        <v>3000</v>
      </c>
      <c r="L446">
        <v>3825</v>
      </c>
    </row>
    <row r="447" spans="1:12" x14ac:dyDescent="0.55000000000000004">
      <c r="A447">
        <v>2017</v>
      </c>
      <c r="B447" t="s">
        <v>12</v>
      </c>
      <c r="C447" t="s">
        <v>18</v>
      </c>
      <c r="D447" t="s">
        <v>246</v>
      </c>
      <c r="E447">
        <v>82.3</v>
      </c>
      <c r="F447">
        <v>75.3</v>
      </c>
      <c r="G447">
        <v>3326</v>
      </c>
      <c r="H447">
        <v>3200</v>
      </c>
      <c r="I447">
        <v>3577</v>
      </c>
      <c r="J447">
        <v>3500</v>
      </c>
      <c r="K447">
        <v>3200</v>
      </c>
      <c r="L447">
        <v>4000</v>
      </c>
    </row>
    <row r="448" spans="1:12" x14ac:dyDescent="0.55000000000000004">
      <c r="A448">
        <v>2017</v>
      </c>
      <c r="B448" t="s">
        <v>12</v>
      </c>
      <c r="C448" t="s">
        <v>18</v>
      </c>
      <c r="D448" t="s">
        <v>247</v>
      </c>
      <c r="E448" t="s">
        <v>42</v>
      </c>
      <c r="F448" t="s">
        <v>42</v>
      </c>
      <c r="G448" t="s">
        <v>42</v>
      </c>
      <c r="H448" t="s">
        <v>42</v>
      </c>
      <c r="I448" t="s">
        <v>42</v>
      </c>
      <c r="J448" t="s">
        <v>42</v>
      </c>
      <c r="K448" t="s">
        <v>42</v>
      </c>
      <c r="L448" t="s">
        <v>42</v>
      </c>
    </row>
    <row r="449" spans="1:12" x14ac:dyDescent="0.55000000000000004">
      <c r="A449">
        <v>2017</v>
      </c>
      <c r="B449" t="s">
        <v>12</v>
      </c>
      <c r="C449" t="s">
        <v>18</v>
      </c>
      <c r="D449" t="s">
        <v>248</v>
      </c>
      <c r="E449">
        <v>98.5</v>
      </c>
      <c r="F449">
        <v>96.9</v>
      </c>
      <c r="G449">
        <v>3373</v>
      </c>
      <c r="H449">
        <v>3300</v>
      </c>
      <c r="I449">
        <v>3442</v>
      </c>
      <c r="J449">
        <v>3400</v>
      </c>
      <c r="K449">
        <v>3190</v>
      </c>
      <c r="L449">
        <v>3675</v>
      </c>
    </row>
    <row r="450" spans="1:12" x14ac:dyDescent="0.55000000000000004">
      <c r="A450">
        <v>2017</v>
      </c>
      <c r="B450" t="s">
        <v>12</v>
      </c>
      <c r="C450" t="s">
        <v>18</v>
      </c>
      <c r="D450" t="s">
        <v>249</v>
      </c>
      <c r="E450" t="s">
        <v>42</v>
      </c>
      <c r="F450" t="s">
        <v>42</v>
      </c>
      <c r="G450" t="s">
        <v>42</v>
      </c>
      <c r="H450" t="s">
        <v>42</v>
      </c>
      <c r="I450" t="s">
        <v>42</v>
      </c>
      <c r="J450" t="s">
        <v>42</v>
      </c>
      <c r="K450" t="s">
        <v>42</v>
      </c>
      <c r="L450" t="s">
        <v>42</v>
      </c>
    </row>
    <row r="451" spans="1:12" x14ac:dyDescent="0.55000000000000004">
      <c r="A451">
        <v>2017</v>
      </c>
      <c r="B451" t="s">
        <v>12</v>
      </c>
      <c r="C451" t="s">
        <v>18</v>
      </c>
      <c r="D451" t="s">
        <v>250</v>
      </c>
      <c r="E451">
        <v>95.1</v>
      </c>
      <c r="F451">
        <v>87.8</v>
      </c>
      <c r="G451">
        <v>3667</v>
      </c>
      <c r="H451">
        <v>3600</v>
      </c>
      <c r="I451">
        <v>3743</v>
      </c>
      <c r="J451">
        <v>3600</v>
      </c>
      <c r="K451">
        <v>3450</v>
      </c>
      <c r="L451">
        <v>3925</v>
      </c>
    </row>
    <row r="452" spans="1:12" x14ac:dyDescent="0.55000000000000004">
      <c r="A452">
        <v>2017</v>
      </c>
      <c r="B452" t="s">
        <v>12</v>
      </c>
      <c r="C452" t="s">
        <v>18</v>
      </c>
      <c r="D452" t="s">
        <v>251</v>
      </c>
      <c r="E452">
        <v>92.4</v>
      </c>
      <c r="F452">
        <v>86.7</v>
      </c>
      <c r="G452">
        <v>4078</v>
      </c>
      <c r="H452">
        <v>3750</v>
      </c>
      <c r="I452">
        <v>4160</v>
      </c>
      <c r="J452">
        <v>3850</v>
      </c>
      <c r="K452">
        <v>3500</v>
      </c>
      <c r="L452">
        <v>4500</v>
      </c>
    </row>
    <row r="453" spans="1:12" x14ac:dyDescent="0.55000000000000004">
      <c r="A453">
        <v>2017</v>
      </c>
      <c r="B453" t="s">
        <v>12</v>
      </c>
      <c r="C453" t="s">
        <v>18</v>
      </c>
      <c r="D453" t="s">
        <v>252</v>
      </c>
      <c r="E453" t="s">
        <v>42</v>
      </c>
      <c r="F453" t="s">
        <v>42</v>
      </c>
      <c r="G453" t="s">
        <v>42</v>
      </c>
      <c r="H453" t="s">
        <v>42</v>
      </c>
      <c r="I453" t="s">
        <v>42</v>
      </c>
      <c r="J453" t="s">
        <v>42</v>
      </c>
      <c r="K453" t="s">
        <v>42</v>
      </c>
      <c r="L453" t="s">
        <v>42</v>
      </c>
    </row>
    <row r="454" spans="1:12" x14ac:dyDescent="0.55000000000000004">
      <c r="A454">
        <v>2017</v>
      </c>
      <c r="B454" t="s">
        <v>12</v>
      </c>
      <c r="C454" t="s">
        <v>18</v>
      </c>
      <c r="D454" t="s">
        <v>253</v>
      </c>
      <c r="E454">
        <v>89.3</v>
      </c>
      <c r="F454">
        <v>85</v>
      </c>
      <c r="G454">
        <v>3532</v>
      </c>
      <c r="H454">
        <v>3500</v>
      </c>
      <c r="I454">
        <v>3657</v>
      </c>
      <c r="J454">
        <v>3600</v>
      </c>
      <c r="K454">
        <v>3200</v>
      </c>
      <c r="L454">
        <v>4000</v>
      </c>
    </row>
    <row r="455" spans="1:12" x14ac:dyDescent="0.55000000000000004">
      <c r="A455">
        <v>2017</v>
      </c>
      <c r="B455" t="s">
        <v>12</v>
      </c>
      <c r="C455" t="s">
        <v>18</v>
      </c>
      <c r="D455" t="s">
        <v>254</v>
      </c>
      <c r="E455">
        <v>71.8</v>
      </c>
      <c r="F455">
        <v>64.099999999999994</v>
      </c>
      <c r="G455">
        <v>3538</v>
      </c>
      <c r="H455">
        <v>3475</v>
      </c>
      <c r="I455">
        <v>3588</v>
      </c>
      <c r="J455">
        <v>3635</v>
      </c>
      <c r="K455">
        <v>3200</v>
      </c>
      <c r="L455">
        <v>3950</v>
      </c>
    </row>
    <row r="456" spans="1:12" x14ac:dyDescent="0.55000000000000004">
      <c r="A456">
        <v>2017</v>
      </c>
      <c r="B456" t="s">
        <v>12</v>
      </c>
      <c r="C456" t="s">
        <v>18</v>
      </c>
      <c r="D456" t="s">
        <v>255</v>
      </c>
      <c r="E456">
        <v>86.9</v>
      </c>
      <c r="F456">
        <v>78.7</v>
      </c>
      <c r="G456">
        <v>3685</v>
      </c>
      <c r="H456">
        <v>3677</v>
      </c>
      <c r="I456">
        <v>3790</v>
      </c>
      <c r="J456">
        <v>3700</v>
      </c>
      <c r="K456">
        <v>3350</v>
      </c>
      <c r="L456">
        <v>4200</v>
      </c>
    </row>
    <row r="457" spans="1:12" x14ac:dyDescent="0.55000000000000004">
      <c r="A457">
        <v>2017</v>
      </c>
      <c r="B457" t="s">
        <v>12</v>
      </c>
      <c r="C457" t="s">
        <v>18</v>
      </c>
      <c r="D457" t="s">
        <v>256</v>
      </c>
      <c r="E457" t="s">
        <v>42</v>
      </c>
      <c r="F457" t="s">
        <v>42</v>
      </c>
      <c r="G457" t="s">
        <v>42</v>
      </c>
      <c r="H457" t="s">
        <v>42</v>
      </c>
      <c r="I457" t="s">
        <v>42</v>
      </c>
      <c r="J457" t="s">
        <v>42</v>
      </c>
      <c r="K457" t="s">
        <v>42</v>
      </c>
      <c r="L457" t="s">
        <v>42</v>
      </c>
    </row>
    <row r="458" spans="1:12" x14ac:dyDescent="0.55000000000000004">
      <c r="A458">
        <v>2017</v>
      </c>
      <c r="B458" t="s">
        <v>12</v>
      </c>
      <c r="C458" t="s">
        <v>18</v>
      </c>
      <c r="D458" t="s">
        <v>257</v>
      </c>
      <c r="E458">
        <v>92.2</v>
      </c>
      <c r="F458">
        <v>92.2</v>
      </c>
      <c r="G458">
        <v>3279</v>
      </c>
      <c r="H458">
        <v>3200</v>
      </c>
      <c r="I458">
        <v>3333</v>
      </c>
      <c r="J458">
        <v>3320</v>
      </c>
      <c r="K458">
        <v>3000</v>
      </c>
      <c r="L458">
        <v>3500</v>
      </c>
    </row>
    <row r="459" spans="1:12" x14ac:dyDescent="0.55000000000000004">
      <c r="A459">
        <v>2017</v>
      </c>
      <c r="B459" t="s">
        <v>12</v>
      </c>
      <c r="C459" t="s">
        <v>18</v>
      </c>
      <c r="D459" t="s">
        <v>258</v>
      </c>
      <c r="E459">
        <v>84.9</v>
      </c>
      <c r="F459">
        <v>75.599999999999994</v>
      </c>
      <c r="G459">
        <v>3288</v>
      </c>
      <c r="H459">
        <v>3200</v>
      </c>
      <c r="I459">
        <v>3434</v>
      </c>
      <c r="J459">
        <v>3375</v>
      </c>
      <c r="K459">
        <v>3200</v>
      </c>
      <c r="L459">
        <v>3700</v>
      </c>
    </row>
    <row r="460" spans="1:12" x14ac:dyDescent="0.55000000000000004">
      <c r="A460">
        <v>2017</v>
      </c>
      <c r="B460" t="s">
        <v>12</v>
      </c>
      <c r="C460" t="s">
        <v>18</v>
      </c>
      <c r="D460" t="s">
        <v>259</v>
      </c>
      <c r="E460" t="s">
        <v>42</v>
      </c>
      <c r="F460" t="s">
        <v>42</v>
      </c>
      <c r="G460" t="s">
        <v>42</v>
      </c>
      <c r="H460" t="s">
        <v>42</v>
      </c>
      <c r="I460" t="s">
        <v>42</v>
      </c>
      <c r="J460" t="s">
        <v>42</v>
      </c>
      <c r="K460" t="s">
        <v>42</v>
      </c>
      <c r="L460" t="s">
        <v>42</v>
      </c>
    </row>
    <row r="461" spans="1:12" x14ac:dyDescent="0.55000000000000004">
      <c r="A461">
        <v>2017</v>
      </c>
      <c r="B461" t="s">
        <v>12</v>
      </c>
      <c r="C461" t="s">
        <v>18</v>
      </c>
      <c r="D461" t="s">
        <v>260</v>
      </c>
      <c r="E461">
        <v>82.7</v>
      </c>
      <c r="F461">
        <v>74.900000000000006</v>
      </c>
      <c r="G461">
        <v>3422</v>
      </c>
      <c r="H461">
        <v>3300</v>
      </c>
      <c r="I461">
        <v>3579</v>
      </c>
      <c r="J461">
        <v>3450</v>
      </c>
      <c r="K461">
        <v>3100</v>
      </c>
      <c r="L461">
        <v>4000</v>
      </c>
    </row>
    <row r="462" spans="1:12" x14ac:dyDescent="0.55000000000000004">
      <c r="A462">
        <v>2017</v>
      </c>
      <c r="B462" t="s">
        <v>12</v>
      </c>
      <c r="C462" t="s">
        <v>18</v>
      </c>
      <c r="D462" t="s">
        <v>261</v>
      </c>
      <c r="E462" t="s">
        <v>42</v>
      </c>
      <c r="F462" t="s">
        <v>42</v>
      </c>
      <c r="G462" t="s">
        <v>42</v>
      </c>
      <c r="H462" t="s">
        <v>42</v>
      </c>
      <c r="I462" t="s">
        <v>42</v>
      </c>
      <c r="J462" t="s">
        <v>42</v>
      </c>
      <c r="K462" t="s">
        <v>42</v>
      </c>
      <c r="L462" t="s">
        <v>42</v>
      </c>
    </row>
    <row r="463" spans="1:12" x14ac:dyDescent="0.55000000000000004">
      <c r="A463">
        <v>2017</v>
      </c>
      <c r="B463" t="s">
        <v>12</v>
      </c>
      <c r="C463" t="s">
        <v>18</v>
      </c>
      <c r="D463" t="s">
        <v>262</v>
      </c>
      <c r="E463">
        <v>88.5</v>
      </c>
      <c r="F463">
        <v>54</v>
      </c>
      <c r="G463">
        <v>2862</v>
      </c>
      <c r="H463">
        <v>2800</v>
      </c>
      <c r="I463">
        <v>2909</v>
      </c>
      <c r="J463">
        <v>2800</v>
      </c>
      <c r="K463">
        <v>2500</v>
      </c>
      <c r="L463">
        <v>3200</v>
      </c>
    </row>
    <row r="464" spans="1:12" x14ac:dyDescent="0.55000000000000004">
      <c r="A464">
        <v>2017</v>
      </c>
      <c r="B464" t="s">
        <v>12</v>
      </c>
      <c r="C464" t="s">
        <v>18</v>
      </c>
      <c r="D464" t="s">
        <v>263</v>
      </c>
      <c r="E464">
        <v>84.6</v>
      </c>
      <c r="F464">
        <v>67.7</v>
      </c>
      <c r="G464">
        <v>3119</v>
      </c>
      <c r="H464">
        <v>3300</v>
      </c>
      <c r="I464">
        <v>3147</v>
      </c>
      <c r="J464">
        <v>3300</v>
      </c>
      <c r="K464">
        <v>2750</v>
      </c>
      <c r="L464">
        <v>3500</v>
      </c>
    </row>
    <row r="465" spans="1:12" x14ac:dyDescent="0.55000000000000004">
      <c r="A465">
        <v>2017</v>
      </c>
      <c r="B465" t="s">
        <v>12</v>
      </c>
      <c r="C465" t="s">
        <v>18</v>
      </c>
      <c r="D465" t="s">
        <v>264</v>
      </c>
      <c r="E465">
        <v>92.6</v>
      </c>
      <c r="F465">
        <v>62.2</v>
      </c>
      <c r="G465">
        <v>3134</v>
      </c>
      <c r="H465">
        <v>3000</v>
      </c>
      <c r="I465">
        <v>3184</v>
      </c>
      <c r="J465">
        <v>3000</v>
      </c>
      <c r="K465">
        <v>2775</v>
      </c>
      <c r="L465">
        <v>3500</v>
      </c>
    </row>
    <row r="466" spans="1:12" x14ac:dyDescent="0.55000000000000004">
      <c r="A466">
        <v>2017</v>
      </c>
      <c r="B466" t="s">
        <v>12</v>
      </c>
      <c r="C466" t="s">
        <v>18</v>
      </c>
      <c r="D466" t="s">
        <v>265</v>
      </c>
      <c r="E466">
        <v>84.7</v>
      </c>
      <c r="F466">
        <v>75.5</v>
      </c>
      <c r="G466">
        <v>3286</v>
      </c>
      <c r="H466">
        <v>3200</v>
      </c>
      <c r="I466">
        <v>3379</v>
      </c>
      <c r="J466">
        <v>3240</v>
      </c>
      <c r="K466">
        <v>3000</v>
      </c>
      <c r="L466">
        <v>3720</v>
      </c>
    </row>
    <row r="467" spans="1:12" x14ac:dyDescent="0.55000000000000004">
      <c r="A467">
        <v>2017</v>
      </c>
      <c r="B467" t="s">
        <v>12</v>
      </c>
      <c r="C467" t="s">
        <v>18</v>
      </c>
      <c r="D467" t="s">
        <v>266</v>
      </c>
      <c r="E467">
        <v>77.8</v>
      </c>
      <c r="F467">
        <v>50.8</v>
      </c>
      <c r="G467">
        <v>3042</v>
      </c>
      <c r="H467">
        <v>3000</v>
      </c>
      <c r="I467">
        <v>3149</v>
      </c>
      <c r="J467">
        <v>3000</v>
      </c>
      <c r="K467">
        <v>2800</v>
      </c>
      <c r="L467">
        <v>3300</v>
      </c>
    </row>
    <row r="468" spans="1:12" x14ac:dyDescent="0.55000000000000004">
      <c r="A468">
        <v>2017</v>
      </c>
      <c r="B468" t="s">
        <v>12</v>
      </c>
      <c r="C468" t="s">
        <v>18</v>
      </c>
      <c r="D468" t="s">
        <v>267</v>
      </c>
      <c r="E468">
        <v>86</v>
      </c>
      <c r="F468">
        <v>68.400000000000006</v>
      </c>
      <c r="G468">
        <v>3206</v>
      </c>
      <c r="H468">
        <v>3100</v>
      </c>
      <c r="I468">
        <v>3265</v>
      </c>
      <c r="J468">
        <v>3200</v>
      </c>
      <c r="K468">
        <v>3000</v>
      </c>
      <c r="L468">
        <v>3600</v>
      </c>
    </row>
    <row r="469" spans="1:12" x14ac:dyDescent="0.55000000000000004">
      <c r="A469">
        <v>2017</v>
      </c>
      <c r="B469" t="s">
        <v>12</v>
      </c>
      <c r="C469" t="s">
        <v>18</v>
      </c>
      <c r="D469" t="s">
        <v>268</v>
      </c>
      <c r="E469">
        <v>80</v>
      </c>
      <c r="F469">
        <v>60</v>
      </c>
      <c r="G469">
        <v>3042</v>
      </c>
      <c r="H469">
        <v>3000</v>
      </c>
      <c r="I469">
        <v>3117</v>
      </c>
      <c r="J469">
        <v>3100</v>
      </c>
      <c r="K469">
        <v>2600</v>
      </c>
      <c r="L469">
        <v>3500</v>
      </c>
    </row>
    <row r="470" spans="1:12" x14ac:dyDescent="0.55000000000000004">
      <c r="A470">
        <v>2017</v>
      </c>
      <c r="B470" t="s">
        <v>12</v>
      </c>
      <c r="C470" t="s">
        <v>18</v>
      </c>
      <c r="D470" t="s">
        <v>269</v>
      </c>
      <c r="E470" t="s">
        <v>42</v>
      </c>
      <c r="F470" t="s">
        <v>42</v>
      </c>
      <c r="G470" t="s">
        <v>42</v>
      </c>
      <c r="H470" t="s">
        <v>42</v>
      </c>
      <c r="I470" t="s">
        <v>42</v>
      </c>
      <c r="J470" t="s">
        <v>42</v>
      </c>
      <c r="K470" t="s">
        <v>42</v>
      </c>
      <c r="L470" t="s">
        <v>42</v>
      </c>
    </row>
    <row r="471" spans="1:12" x14ac:dyDescent="0.55000000000000004">
      <c r="A471">
        <v>2017</v>
      </c>
      <c r="B471" t="s">
        <v>12</v>
      </c>
      <c r="C471" t="s">
        <v>18</v>
      </c>
      <c r="D471" t="s">
        <v>270</v>
      </c>
      <c r="E471">
        <v>78.900000000000006</v>
      </c>
      <c r="F471">
        <v>59.2</v>
      </c>
      <c r="G471">
        <v>3107</v>
      </c>
      <c r="H471">
        <v>3107</v>
      </c>
      <c r="I471">
        <v>3151</v>
      </c>
      <c r="J471">
        <v>3200</v>
      </c>
      <c r="K471">
        <v>2890</v>
      </c>
      <c r="L471">
        <v>3500</v>
      </c>
    </row>
    <row r="472" spans="1:12" x14ac:dyDescent="0.55000000000000004">
      <c r="A472">
        <v>2017</v>
      </c>
      <c r="B472" t="s">
        <v>12</v>
      </c>
      <c r="C472" t="s">
        <v>18</v>
      </c>
      <c r="D472" t="s">
        <v>271</v>
      </c>
      <c r="E472">
        <v>74.099999999999994</v>
      </c>
      <c r="F472">
        <v>66.7</v>
      </c>
      <c r="G472">
        <v>3353</v>
      </c>
      <c r="H472">
        <v>3300</v>
      </c>
      <c r="I472">
        <v>3479</v>
      </c>
      <c r="J472">
        <v>3395</v>
      </c>
      <c r="K472">
        <v>3160</v>
      </c>
      <c r="L472">
        <v>3750</v>
      </c>
    </row>
    <row r="473" spans="1:12" x14ac:dyDescent="0.55000000000000004">
      <c r="A473">
        <v>2017</v>
      </c>
      <c r="B473" t="s">
        <v>12</v>
      </c>
      <c r="C473" t="s">
        <v>18</v>
      </c>
      <c r="D473" t="s">
        <v>272</v>
      </c>
      <c r="E473">
        <v>77.599999999999994</v>
      </c>
      <c r="F473">
        <v>62.1</v>
      </c>
      <c r="G473">
        <v>3263</v>
      </c>
      <c r="H473">
        <v>3200</v>
      </c>
      <c r="I473">
        <v>3309</v>
      </c>
      <c r="J473">
        <v>3228</v>
      </c>
      <c r="K473">
        <v>2970</v>
      </c>
      <c r="L473">
        <v>3500</v>
      </c>
    </row>
    <row r="474" spans="1:12" x14ac:dyDescent="0.55000000000000004">
      <c r="A474">
        <v>2017</v>
      </c>
      <c r="B474" t="s">
        <v>12</v>
      </c>
      <c r="C474" t="s">
        <v>40</v>
      </c>
      <c r="D474" t="s">
        <v>273</v>
      </c>
      <c r="E474">
        <v>92</v>
      </c>
      <c r="F474">
        <v>80</v>
      </c>
      <c r="G474">
        <v>2722</v>
      </c>
      <c r="H474">
        <v>2928</v>
      </c>
      <c r="I474">
        <v>2792</v>
      </c>
      <c r="J474">
        <v>2950</v>
      </c>
      <c r="K474">
        <v>2500</v>
      </c>
      <c r="L474">
        <v>3035</v>
      </c>
    </row>
    <row r="475" spans="1:12" x14ac:dyDescent="0.55000000000000004">
      <c r="A475">
        <v>2017</v>
      </c>
      <c r="B475" t="s">
        <v>12</v>
      </c>
      <c r="C475" t="s">
        <v>40</v>
      </c>
      <c r="D475" t="s">
        <v>274</v>
      </c>
      <c r="E475">
        <v>80.400000000000006</v>
      </c>
      <c r="F475">
        <v>62.6</v>
      </c>
      <c r="G475">
        <v>3177</v>
      </c>
      <c r="H475">
        <v>3100</v>
      </c>
      <c r="I475">
        <v>3255</v>
      </c>
      <c r="J475">
        <v>3200</v>
      </c>
      <c r="K475">
        <v>3000</v>
      </c>
      <c r="L475">
        <v>3500</v>
      </c>
    </row>
    <row r="476" spans="1:12" x14ac:dyDescent="0.55000000000000004">
      <c r="A476">
        <v>2017</v>
      </c>
      <c r="B476" t="s">
        <v>12</v>
      </c>
      <c r="C476" t="s">
        <v>40</v>
      </c>
      <c r="D476" t="s">
        <v>275</v>
      </c>
      <c r="E476">
        <v>70.099999999999994</v>
      </c>
      <c r="F476">
        <v>51.1</v>
      </c>
      <c r="G476">
        <v>3035</v>
      </c>
      <c r="H476">
        <v>3000</v>
      </c>
      <c r="I476">
        <v>3173</v>
      </c>
      <c r="J476">
        <v>3100</v>
      </c>
      <c r="K476">
        <v>2800</v>
      </c>
      <c r="L476">
        <v>3488</v>
      </c>
    </row>
    <row r="477" spans="1:12" x14ac:dyDescent="0.55000000000000004">
      <c r="A477">
        <v>2017</v>
      </c>
      <c r="B477" t="s">
        <v>12</v>
      </c>
      <c r="C477" t="s">
        <v>40</v>
      </c>
      <c r="D477" t="s">
        <v>276</v>
      </c>
      <c r="E477">
        <v>89.7</v>
      </c>
      <c r="F477">
        <v>79.5</v>
      </c>
      <c r="G477">
        <v>3517</v>
      </c>
      <c r="H477">
        <v>3400</v>
      </c>
      <c r="I477">
        <v>3580</v>
      </c>
      <c r="J477">
        <v>3500</v>
      </c>
      <c r="K477">
        <v>3100</v>
      </c>
      <c r="L477">
        <v>3800</v>
      </c>
    </row>
    <row r="478" spans="1:12" x14ac:dyDescent="0.55000000000000004">
      <c r="A478">
        <v>2017</v>
      </c>
      <c r="B478" t="s">
        <v>12</v>
      </c>
      <c r="C478" t="s">
        <v>40</v>
      </c>
      <c r="D478" t="s">
        <v>277</v>
      </c>
      <c r="E478">
        <v>89.8</v>
      </c>
      <c r="F478">
        <v>83.1</v>
      </c>
      <c r="G478">
        <v>3504</v>
      </c>
      <c r="H478">
        <v>3290</v>
      </c>
      <c r="I478">
        <v>3625</v>
      </c>
      <c r="J478">
        <v>3400</v>
      </c>
      <c r="K478">
        <v>3013</v>
      </c>
      <c r="L478">
        <v>3775</v>
      </c>
    </row>
    <row r="479" spans="1:12" x14ac:dyDescent="0.55000000000000004">
      <c r="A479">
        <v>2017</v>
      </c>
      <c r="B479" t="s">
        <v>12</v>
      </c>
      <c r="C479" t="s">
        <v>40</v>
      </c>
      <c r="D479" t="s">
        <v>278</v>
      </c>
      <c r="E479">
        <v>81.599999999999994</v>
      </c>
      <c r="F479">
        <v>61.8</v>
      </c>
      <c r="G479">
        <v>3367</v>
      </c>
      <c r="H479">
        <v>3300</v>
      </c>
      <c r="I479">
        <v>3490</v>
      </c>
      <c r="J479">
        <v>3300</v>
      </c>
      <c r="K479">
        <v>3000</v>
      </c>
      <c r="L479">
        <v>3819</v>
      </c>
    </row>
    <row r="480" spans="1:12" x14ac:dyDescent="0.55000000000000004">
      <c r="A480">
        <v>2017</v>
      </c>
      <c r="B480" t="s">
        <v>12</v>
      </c>
      <c r="C480" t="s">
        <v>279</v>
      </c>
      <c r="D480" t="s">
        <v>280</v>
      </c>
      <c r="E480">
        <v>81.099999999999994</v>
      </c>
      <c r="F480">
        <v>48.6</v>
      </c>
      <c r="G480">
        <v>3372</v>
      </c>
      <c r="H480">
        <v>3285</v>
      </c>
      <c r="I480">
        <v>3486</v>
      </c>
      <c r="J480">
        <v>3450</v>
      </c>
      <c r="K480">
        <v>2800</v>
      </c>
      <c r="L480">
        <v>4000</v>
      </c>
    </row>
    <row r="481" spans="1:12" x14ac:dyDescent="0.55000000000000004">
      <c r="A481">
        <v>2017</v>
      </c>
      <c r="B481" t="s">
        <v>12</v>
      </c>
      <c r="C481" t="s">
        <v>50</v>
      </c>
      <c r="D481" t="s">
        <v>281</v>
      </c>
      <c r="E481">
        <v>100</v>
      </c>
      <c r="F481">
        <v>100</v>
      </c>
      <c r="G481">
        <v>3489</v>
      </c>
      <c r="H481">
        <v>3600</v>
      </c>
      <c r="I481">
        <v>3589</v>
      </c>
      <c r="J481">
        <v>3600</v>
      </c>
      <c r="K481">
        <v>3500</v>
      </c>
      <c r="L481">
        <v>3800</v>
      </c>
    </row>
    <row r="482" spans="1:12" x14ac:dyDescent="0.55000000000000004">
      <c r="A482">
        <v>2017</v>
      </c>
      <c r="B482" t="s">
        <v>12</v>
      </c>
      <c r="C482" t="s">
        <v>50</v>
      </c>
      <c r="D482" t="s">
        <v>282</v>
      </c>
      <c r="E482">
        <v>100</v>
      </c>
      <c r="F482">
        <v>100</v>
      </c>
      <c r="G482">
        <v>3610</v>
      </c>
      <c r="H482">
        <v>3603</v>
      </c>
      <c r="I482">
        <v>3701</v>
      </c>
      <c r="J482">
        <v>3701</v>
      </c>
      <c r="K482">
        <v>3500</v>
      </c>
      <c r="L482">
        <v>3958</v>
      </c>
    </row>
    <row r="483" spans="1:12" x14ac:dyDescent="0.55000000000000004">
      <c r="A483">
        <v>2017</v>
      </c>
      <c r="B483" t="s">
        <v>53</v>
      </c>
      <c r="C483" t="s">
        <v>54</v>
      </c>
      <c r="D483" t="s">
        <v>55</v>
      </c>
      <c r="E483">
        <v>85.8</v>
      </c>
      <c r="F483">
        <v>61.9</v>
      </c>
      <c r="G483">
        <v>3005</v>
      </c>
      <c r="H483">
        <v>3000</v>
      </c>
      <c r="I483">
        <v>3107</v>
      </c>
      <c r="J483">
        <v>3000</v>
      </c>
      <c r="K483">
        <v>2700</v>
      </c>
      <c r="L483">
        <v>3300</v>
      </c>
    </row>
    <row r="484" spans="1:12" x14ac:dyDescent="0.55000000000000004">
      <c r="A484">
        <v>2017</v>
      </c>
      <c r="B484" t="s">
        <v>53</v>
      </c>
      <c r="C484" t="s">
        <v>54</v>
      </c>
      <c r="D484" t="s">
        <v>56</v>
      </c>
      <c r="E484">
        <v>88.2</v>
      </c>
      <c r="F484">
        <v>66.7</v>
      </c>
      <c r="G484">
        <v>3309</v>
      </c>
      <c r="H484">
        <v>3300</v>
      </c>
      <c r="I484">
        <v>3391</v>
      </c>
      <c r="J484">
        <v>3360</v>
      </c>
      <c r="K484">
        <v>3000</v>
      </c>
      <c r="L484">
        <v>3600</v>
      </c>
    </row>
    <row r="485" spans="1:12" x14ac:dyDescent="0.55000000000000004">
      <c r="A485">
        <v>2017</v>
      </c>
      <c r="B485" t="s">
        <v>53</v>
      </c>
      <c r="C485" t="s">
        <v>54</v>
      </c>
      <c r="D485" t="s">
        <v>57</v>
      </c>
      <c r="E485">
        <v>88.3</v>
      </c>
      <c r="F485">
        <v>74.7</v>
      </c>
      <c r="G485">
        <v>3365</v>
      </c>
      <c r="H485">
        <v>3300</v>
      </c>
      <c r="I485">
        <v>3443</v>
      </c>
      <c r="J485">
        <v>3300</v>
      </c>
      <c r="K485">
        <v>3000</v>
      </c>
      <c r="L485">
        <v>3750</v>
      </c>
    </row>
    <row r="486" spans="1:12" x14ac:dyDescent="0.55000000000000004">
      <c r="A486">
        <v>2017</v>
      </c>
      <c r="B486" t="s">
        <v>53</v>
      </c>
      <c r="C486" t="s">
        <v>225</v>
      </c>
      <c r="D486" t="s">
        <v>71</v>
      </c>
      <c r="E486">
        <v>100</v>
      </c>
      <c r="F486">
        <v>100</v>
      </c>
      <c r="G486">
        <v>4124</v>
      </c>
      <c r="H486">
        <v>4050</v>
      </c>
      <c r="I486">
        <v>4143</v>
      </c>
      <c r="J486">
        <v>4050</v>
      </c>
      <c r="K486">
        <v>4000</v>
      </c>
      <c r="L486">
        <v>4400</v>
      </c>
    </row>
    <row r="487" spans="1:12" x14ac:dyDescent="0.55000000000000004">
      <c r="A487">
        <v>2017</v>
      </c>
      <c r="B487" t="s">
        <v>53</v>
      </c>
      <c r="C487" t="s">
        <v>226</v>
      </c>
      <c r="D487" t="s">
        <v>191</v>
      </c>
      <c r="E487">
        <v>90.6</v>
      </c>
      <c r="F487">
        <v>81.3</v>
      </c>
      <c r="G487">
        <v>3215</v>
      </c>
      <c r="H487">
        <v>3200</v>
      </c>
      <c r="I487">
        <v>3367</v>
      </c>
      <c r="J487">
        <v>3300</v>
      </c>
      <c r="K487">
        <v>3000</v>
      </c>
      <c r="L487">
        <v>3700</v>
      </c>
    </row>
    <row r="488" spans="1:12" x14ac:dyDescent="0.55000000000000004">
      <c r="A488">
        <v>2017</v>
      </c>
      <c r="B488" t="s">
        <v>53</v>
      </c>
      <c r="C488" t="s">
        <v>226</v>
      </c>
      <c r="D488" t="s">
        <v>79</v>
      </c>
      <c r="E488">
        <v>87.8</v>
      </c>
      <c r="F488">
        <v>81.3</v>
      </c>
      <c r="G488">
        <v>3550</v>
      </c>
      <c r="H488">
        <v>3500</v>
      </c>
      <c r="I488">
        <v>3727</v>
      </c>
      <c r="J488">
        <v>3600</v>
      </c>
      <c r="K488">
        <v>3300</v>
      </c>
      <c r="L488">
        <v>4000</v>
      </c>
    </row>
    <row r="489" spans="1:12" x14ac:dyDescent="0.55000000000000004">
      <c r="A489">
        <v>2017</v>
      </c>
      <c r="B489" t="s">
        <v>53</v>
      </c>
      <c r="C489" t="s">
        <v>226</v>
      </c>
      <c r="D489" t="s">
        <v>80</v>
      </c>
      <c r="E489">
        <v>95.5</v>
      </c>
      <c r="F489">
        <v>90.9</v>
      </c>
      <c r="G489">
        <v>3361</v>
      </c>
      <c r="H489">
        <v>3300</v>
      </c>
      <c r="I489">
        <v>3427</v>
      </c>
      <c r="J489">
        <v>3300</v>
      </c>
      <c r="K489">
        <v>3135</v>
      </c>
      <c r="L489">
        <v>3700</v>
      </c>
    </row>
    <row r="490" spans="1:12" x14ac:dyDescent="0.55000000000000004">
      <c r="A490">
        <v>2017</v>
      </c>
      <c r="B490" t="s">
        <v>53</v>
      </c>
      <c r="C490" t="s">
        <v>226</v>
      </c>
      <c r="D490" t="s">
        <v>82</v>
      </c>
      <c r="E490">
        <v>89.4</v>
      </c>
      <c r="F490">
        <v>86.5</v>
      </c>
      <c r="G490">
        <v>3529</v>
      </c>
      <c r="H490">
        <v>3500</v>
      </c>
      <c r="I490">
        <v>3641</v>
      </c>
      <c r="J490">
        <v>3600</v>
      </c>
      <c r="K490">
        <v>3300</v>
      </c>
      <c r="L490">
        <v>3900</v>
      </c>
    </row>
    <row r="491" spans="1:12" x14ac:dyDescent="0.55000000000000004">
      <c r="A491">
        <v>2017</v>
      </c>
      <c r="B491" t="s">
        <v>53</v>
      </c>
      <c r="C491" t="s">
        <v>226</v>
      </c>
      <c r="D491" t="s">
        <v>83</v>
      </c>
      <c r="E491">
        <v>76.5</v>
      </c>
      <c r="F491">
        <v>64.7</v>
      </c>
      <c r="G491">
        <v>3783</v>
      </c>
      <c r="H491">
        <v>3600</v>
      </c>
      <c r="I491">
        <v>3827</v>
      </c>
      <c r="J491">
        <v>3675</v>
      </c>
      <c r="K491">
        <v>3440</v>
      </c>
      <c r="L491">
        <v>4200</v>
      </c>
    </row>
    <row r="492" spans="1:12" x14ac:dyDescent="0.55000000000000004">
      <c r="A492">
        <v>2017</v>
      </c>
      <c r="B492" t="s">
        <v>53</v>
      </c>
      <c r="C492" t="s">
        <v>226</v>
      </c>
      <c r="D492" t="s">
        <v>84</v>
      </c>
      <c r="E492">
        <v>86.3</v>
      </c>
      <c r="F492">
        <v>71.2</v>
      </c>
      <c r="G492">
        <v>3425</v>
      </c>
      <c r="H492">
        <v>3100</v>
      </c>
      <c r="I492">
        <v>3546</v>
      </c>
      <c r="J492">
        <v>3350</v>
      </c>
      <c r="K492">
        <v>3000</v>
      </c>
      <c r="L492">
        <v>3800</v>
      </c>
    </row>
    <row r="493" spans="1:12" x14ac:dyDescent="0.55000000000000004">
      <c r="A493">
        <v>2017</v>
      </c>
      <c r="B493" t="s">
        <v>53</v>
      </c>
      <c r="C493" t="s">
        <v>226</v>
      </c>
      <c r="D493" t="s">
        <v>85</v>
      </c>
      <c r="E493">
        <v>93.3</v>
      </c>
      <c r="F493">
        <v>89.9</v>
      </c>
      <c r="G493">
        <v>3905</v>
      </c>
      <c r="H493">
        <v>3725</v>
      </c>
      <c r="I493">
        <v>4035</v>
      </c>
      <c r="J493">
        <v>3875</v>
      </c>
      <c r="K493">
        <v>3450</v>
      </c>
      <c r="L493">
        <v>4200</v>
      </c>
    </row>
    <row r="494" spans="1:12" x14ac:dyDescent="0.55000000000000004">
      <c r="A494">
        <v>2017</v>
      </c>
      <c r="B494" t="s">
        <v>53</v>
      </c>
      <c r="C494" t="s">
        <v>226</v>
      </c>
      <c r="D494" t="s">
        <v>227</v>
      </c>
      <c r="E494">
        <v>94</v>
      </c>
      <c r="F494">
        <v>86</v>
      </c>
      <c r="G494">
        <v>3269</v>
      </c>
      <c r="H494">
        <v>3200</v>
      </c>
      <c r="I494">
        <v>3570</v>
      </c>
      <c r="J494">
        <v>3388</v>
      </c>
      <c r="K494">
        <v>3200</v>
      </c>
      <c r="L494">
        <v>3950</v>
      </c>
    </row>
    <row r="495" spans="1:12" x14ac:dyDescent="0.55000000000000004">
      <c r="A495">
        <v>2017</v>
      </c>
      <c r="B495" t="s">
        <v>53</v>
      </c>
      <c r="C495" t="s">
        <v>226</v>
      </c>
      <c r="D495" t="s">
        <v>87</v>
      </c>
      <c r="E495">
        <v>87.3</v>
      </c>
      <c r="F495">
        <v>82.3</v>
      </c>
      <c r="G495">
        <v>3537</v>
      </c>
      <c r="H495">
        <v>3400</v>
      </c>
      <c r="I495">
        <v>3657</v>
      </c>
      <c r="J495">
        <v>3450</v>
      </c>
      <c r="K495">
        <v>3100</v>
      </c>
      <c r="L495">
        <v>4000</v>
      </c>
    </row>
    <row r="496" spans="1:12" x14ac:dyDescent="0.55000000000000004">
      <c r="A496">
        <v>2017</v>
      </c>
      <c r="B496" t="s">
        <v>53</v>
      </c>
      <c r="C496" t="s">
        <v>88</v>
      </c>
      <c r="D496" t="s">
        <v>283</v>
      </c>
      <c r="E496">
        <v>95.8</v>
      </c>
      <c r="F496">
        <v>92.3</v>
      </c>
      <c r="G496">
        <v>4958</v>
      </c>
      <c r="H496">
        <v>5000</v>
      </c>
      <c r="I496">
        <v>5121</v>
      </c>
      <c r="J496">
        <v>5000</v>
      </c>
      <c r="K496">
        <v>4500</v>
      </c>
      <c r="L496">
        <v>5600</v>
      </c>
    </row>
    <row r="497" spans="1:12" x14ac:dyDescent="0.55000000000000004">
      <c r="A497">
        <v>2017</v>
      </c>
      <c r="B497" t="s">
        <v>53</v>
      </c>
      <c r="C497" t="s">
        <v>96</v>
      </c>
      <c r="D497" t="s">
        <v>97</v>
      </c>
      <c r="E497" t="s">
        <v>42</v>
      </c>
      <c r="F497" t="s">
        <v>42</v>
      </c>
      <c r="G497" t="s">
        <v>42</v>
      </c>
      <c r="H497" t="s">
        <v>42</v>
      </c>
      <c r="I497" t="s">
        <v>42</v>
      </c>
      <c r="J497" t="s">
        <v>42</v>
      </c>
      <c r="K497" t="s">
        <v>42</v>
      </c>
      <c r="L497" t="s">
        <v>42</v>
      </c>
    </row>
    <row r="498" spans="1:12" x14ac:dyDescent="0.55000000000000004">
      <c r="A498">
        <v>2017</v>
      </c>
      <c r="B498" t="s">
        <v>53</v>
      </c>
      <c r="C498" t="s">
        <v>96</v>
      </c>
      <c r="D498" t="s">
        <v>98</v>
      </c>
      <c r="E498">
        <v>82.1</v>
      </c>
      <c r="F498">
        <v>50</v>
      </c>
      <c r="G498">
        <v>3186</v>
      </c>
      <c r="H498">
        <v>3075</v>
      </c>
      <c r="I498">
        <v>3187</v>
      </c>
      <c r="J498">
        <v>3085</v>
      </c>
      <c r="K498">
        <v>2800</v>
      </c>
      <c r="L498">
        <v>3200</v>
      </c>
    </row>
    <row r="499" spans="1:12" x14ac:dyDescent="0.55000000000000004">
      <c r="A499">
        <v>2017</v>
      </c>
      <c r="B499" t="s">
        <v>53</v>
      </c>
      <c r="C499" t="s">
        <v>96</v>
      </c>
      <c r="D499" t="s">
        <v>99</v>
      </c>
      <c r="E499">
        <v>76.900000000000006</v>
      </c>
      <c r="F499">
        <v>54.5</v>
      </c>
      <c r="G499">
        <v>3053</v>
      </c>
      <c r="H499">
        <v>3000</v>
      </c>
      <c r="I499">
        <v>3214</v>
      </c>
      <c r="J499">
        <v>3082</v>
      </c>
      <c r="K499">
        <v>2800</v>
      </c>
      <c r="L499">
        <v>3400</v>
      </c>
    </row>
    <row r="500" spans="1:12" x14ac:dyDescent="0.55000000000000004">
      <c r="A500">
        <v>2017</v>
      </c>
      <c r="B500" t="s">
        <v>53</v>
      </c>
      <c r="C500" t="s">
        <v>96</v>
      </c>
      <c r="D500" t="s">
        <v>100</v>
      </c>
      <c r="E500">
        <v>85.9</v>
      </c>
      <c r="F500">
        <v>69.3</v>
      </c>
      <c r="G500">
        <v>3340</v>
      </c>
      <c r="H500">
        <v>3200</v>
      </c>
      <c r="I500">
        <v>3435</v>
      </c>
      <c r="J500">
        <v>3300</v>
      </c>
      <c r="K500">
        <v>3000</v>
      </c>
      <c r="L500">
        <v>3700</v>
      </c>
    </row>
    <row r="501" spans="1:12" x14ac:dyDescent="0.55000000000000004">
      <c r="A501">
        <v>2017</v>
      </c>
      <c r="B501" t="s">
        <v>53</v>
      </c>
      <c r="C501" t="s">
        <v>96</v>
      </c>
      <c r="D501" t="s">
        <v>101</v>
      </c>
      <c r="E501" t="s">
        <v>42</v>
      </c>
      <c r="F501" t="s">
        <v>42</v>
      </c>
      <c r="G501" t="s">
        <v>42</v>
      </c>
      <c r="H501" t="s">
        <v>42</v>
      </c>
      <c r="I501" t="s">
        <v>42</v>
      </c>
      <c r="J501" t="s">
        <v>42</v>
      </c>
      <c r="K501" t="s">
        <v>42</v>
      </c>
      <c r="L501" t="s">
        <v>42</v>
      </c>
    </row>
    <row r="502" spans="1:12" x14ac:dyDescent="0.55000000000000004">
      <c r="A502">
        <v>2017</v>
      </c>
      <c r="B502" t="s">
        <v>53</v>
      </c>
      <c r="C502" t="s">
        <v>96</v>
      </c>
      <c r="D502" t="s">
        <v>284</v>
      </c>
      <c r="E502">
        <v>99.1</v>
      </c>
      <c r="F502">
        <v>94.5</v>
      </c>
      <c r="G502">
        <v>3473</v>
      </c>
      <c r="H502">
        <v>3500</v>
      </c>
      <c r="I502">
        <v>3616</v>
      </c>
      <c r="J502">
        <v>3600</v>
      </c>
      <c r="K502">
        <v>3500</v>
      </c>
      <c r="L502">
        <v>3800</v>
      </c>
    </row>
    <row r="503" spans="1:12" x14ac:dyDescent="0.55000000000000004">
      <c r="A503">
        <v>2017</v>
      </c>
      <c r="B503" t="s">
        <v>53</v>
      </c>
      <c r="C503" t="s">
        <v>58</v>
      </c>
      <c r="D503" t="s">
        <v>59</v>
      </c>
      <c r="E503">
        <v>94.9</v>
      </c>
      <c r="F503">
        <v>87.3</v>
      </c>
      <c r="G503">
        <v>3770</v>
      </c>
      <c r="H503">
        <v>3400</v>
      </c>
      <c r="I503">
        <v>4031</v>
      </c>
      <c r="J503">
        <v>3500</v>
      </c>
      <c r="K503">
        <v>3000</v>
      </c>
      <c r="L503">
        <v>4333</v>
      </c>
    </row>
    <row r="504" spans="1:12" x14ac:dyDescent="0.55000000000000004">
      <c r="A504">
        <v>2017</v>
      </c>
      <c r="B504" t="s">
        <v>53</v>
      </c>
      <c r="C504" t="s">
        <v>58</v>
      </c>
      <c r="D504" t="s">
        <v>60</v>
      </c>
      <c r="E504">
        <v>98.2</v>
      </c>
      <c r="F504">
        <v>93.6</v>
      </c>
      <c r="G504">
        <v>4272</v>
      </c>
      <c r="H504">
        <v>3725</v>
      </c>
      <c r="I504">
        <v>4388</v>
      </c>
      <c r="J504">
        <v>3800</v>
      </c>
      <c r="K504">
        <v>3450</v>
      </c>
      <c r="L504">
        <v>4782</v>
      </c>
    </row>
    <row r="505" spans="1:12" x14ac:dyDescent="0.55000000000000004">
      <c r="A505">
        <v>2017</v>
      </c>
      <c r="B505" t="s">
        <v>53</v>
      </c>
      <c r="C505" t="s">
        <v>58</v>
      </c>
      <c r="D505" t="s">
        <v>61</v>
      </c>
      <c r="E505">
        <v>97.2</v>
      </c>
      <c r="F505">
        <v>94.4</v>
      </c>
      <c r="G505">
        <v>3396</v>
      </c>
      <c r="H505">
        <v>3000</v>
      </c>
      <c r="I505">
        <v>3473</v>
      </c>
      <c r="J505">
        <v>3025</v>
      </c>
      <c r="K505">
        <v>3000</v>
      </c>
      <c r="L505">
        <v>3600</v>
      </c>
    </row>
    <row r="506" spans="1:12" x14ac:dyDescent="0.55000000000000004">
      <c r="A506">
        <v>2017</v>
      </c>
      <c r="B506" t="s">
        <v>53</v>
      </c>
      <c r="C506" t="s">
        <v>58</v>
      </c>
      <c r="D506" t="s">
        <v>62</v>
      </c>
      <c r="E506">
        <v>100</v>
      </c>
      <c r="F506">
        <v>100</v>
      </c>
      <c r="G506">
        <v>3689</v>
      </c>
      <c r="H506">
        <v>3100</v>
      </c>
      <c r="I506">
        <v>3744</v>
      </c>
      <c r="J506">
        <v>3125</v>
      </c>
      <c r="K506">
        <v>3000</v>
      </c>
      <c r="L506">
        <v>4023</v>
      </c>
    </row>
    <row r="507" spans="1:12" x14ac:dyDescent="0.55000000000000004">
      <c r="A507">
        <v>2017</v>
      </c>
      <c r="B507" t="s">
        <v>53</v>
      </c>
      <c r="C507" t="s">
        <v>63</v>
      </c>
      <c r="D507" t="s">
        <v>229</v>
      </c>
      <c r="E507" t="s">
        <v>42</v>
      </c>
      <c r="F507" t="s">
        <v>42</v>
      </c>
      <c r="G507" t="s">
        <v>42</v>
      </c>
      <c r="H507" t="s">
        <v>42</v>
      </c>
      <c r="I507" t="s">
        <v>42</v>
      </c>
      <c r="J507" t="s">
        <v>42</v>
      </c>
      <c r="K507" t="s">
        <v>42</v>
      </c>
      <c r="L507" t="s">
        <v>42</v>
      </c>
    </row>
    <row r="508" spans="1:12" x14ac:dyDescent="0.55000000000000004">
      <c r="A508">
        <v>2017</v>
      </c>
      <c r="B508" t="s">
        <v>53</v>
      </c>
      <c r="C508" t="s">
        <v>63</v>
      </c>
      <c r="D508" t="s">
        <v>65</v>
      </c>
      <c r="E508" t="s">
        <v>42</v>
      </c>
      <c r="F508" t="s">
        <v>42</v>
      </c>
      <c r="G508" t="s">
        <v>42</v>
      </c>
      <c r="H508" t="s">
        <v>42</v>
      </c>
      <c r="I508" t="s">
        <v>42</v>
      </c>
      <c r="J508" t="s">
        <v>42</v>
      </c>
      <c r="K508" t="s">
        <v>42</v>
      </c>
      <c r="L508" t="s">
        <v>42</v>
      </c>
    </row>
    <row r="509" spans="1:12" x14ac:dyDescent="0.55000000000000004">
      <c r="A509">
        <v>2017</v>
      </c>
      <c r="B509" t="s">
        <v>53</v>
      </c>
      <c r="C509" t="s">
        <v>63</v>
      </c>
      <c r="D509" t="s">
        <v>67</v>
      </c>
      <c r="E509">
        <v>93.5</v>
      </c>
      <c r="F509">
        <v>89.4</v>
      </c>
      <c r="G509">
        <v>4510</v>
      </c>
      <c r="H509">
        <v>4200</v>
      </c>
      <c r="I509">
        <v>4628</v>
      </c>
      <c r="J509">
        <v>4285</v>
      </c>
      <c r="K509">
        <v>3656</v>
      </c>
      <c r="L509">
        <v>5000</v>
      </c>
    </row>
    <row r="510" spans="1:12" x14ac:dyDescent="0.55000000000000004">
      <c r="A510">
        <v>2017</v>
      </c>
      <c r="B510" t="s">
        <v>53</v>
      </c>
      <c r="C510" t="s">
        <v>63</v>
      </c>
      <c r="D510" t="s">
        <v>230</v>
      </c>
      <c r="E510" t="s">
        <v>42</v>
      </c>
      <c r="F510" t="s">
        <v>42</v>
      </c>
      <c r="G510" t="s">
        <v>42</v>
      </c>
      <c r="H510" t="s">
        <v>42</v>
      </c>
      <c r="I510" t="s">
        <v>42</v>
      </c>
      <c r="J510" t="s">
        <v>42</v>
      </c>
      <c r="K510" t="s">
        <v>42</v>
      </c>
      <c r="L510" t="s">
        <v>42</v>
      </c>
    </row>
    <row r="511" spans="1:12" x14ac:dyDescent="0.55000000000000004">
      <c r="A511">
        <v>2017</v>
      </c>
      <c r="B511" t="s">
        <v>53</v>
      </c>
      <c r="C511" t="s">
        <v>63</v>
      </c>
      <c r="D511" t="s">
        <v>285</v>
      </c>
      <c r="E511" t="s">
        <v>42</v>
      </c>
      <c r="F511" t="s">
        <v>42</v>
      </c>
      <c r="G511" t="s">
        <v>42</v>
      </c>
      <c r="H511" t="s">
        <v>42</v>
      </c>
      <c r="I511" t="s">
        <v>42</v>
      </c>
      <c r="J511" t="s">
        <v>42</v>
      </c>
      <c r="K511" t="s">
        <v>42</v>
      </c>
      <c r="L511" t="s">
        <v>42</v>
      </c>
    </row>
    <row r="512" spans="1:12" x14ac:dyDescent="0.55000000000000004">
      <c r="A512">
        <v>2017</v>
      </c>
      <c r="B512" t="s">
        <v>53</v>
      </c>
      <c r="C512" t="s">
        <v>63</v>
      </c>
      <c r="D512" t="s">
        <v>69</v>
      </c>
      <c r="E512">
        <v>94.5</v>
      </c>
      <c r="F512">
        <v>91.8</v>
      </c>
      <c r="G512">
        <v>4061</v>
      </c>
      <c r="H512">
        <v>4000</v>
      </c>
      <c r="I512">
        <v>4192</v>
      </c>
      <c r="J512">
        <v>4000</v>
      </c>
      <c r="K512">
        <v>3550</v>
      </c>
      <c r="L512">
        <v>4592</v>
      </c>
    </row>
    <row r="513" spans="1:12" x14ac:dyDescent="0.55000000000000004">
      <c r="A513">
        <v>2017</v>
      </c>
      <c r="B513" t="s">
        <v>53</v>
      </c>
      <c r="C513" t="s">
        <v>63</v>
      </c>
      <c r="D513" t="s">
        <v>286</v>
      </c>
      <c r="E513">
        <v>97.6</v>
      </c>
      <c r="F513">
        <v>97.6</v>
      </c>
      <c r="G513">
        <v>4114</v>
      </c>
      <c r="H513">
        <v>3810</v>
      </c>
      <c r="I513">
        <v>4203</v>
      </c>
      <c r="J513">
        <v>4000</v>
      </c>
      <c r="K513">
        <v>3500</v>
      </c>
      <c r="L513">
        <v>4766</v>
      </c>
    </row>
    <row r="514" spans="1:12" x14ac:dyDescent="0.55000000000000004">
      <c r="A514">
        <v>2017</v>
      </c>
      <c r="B514" t="s">
        <v>53</v>
      </c>
      <c r="C514" t="s">
        <v>231</v>
      </c>
      <c r="D514" t="s">
        <v>125</v>
      </c>
      <c r="E514">
        <v>91.3</v>
      </c>
      <c r="F514">
        <v>86.4</v>
      </c>
      <c r="G514">
        <v>4037</v>
      </c>
      <c r="H514">
        <v>4000</v>
      </c>
      <c r="I514">
        <v>4079</v>
      </c>
      <c r="J514">
        <v>4000</v>
      </c>
      <c r="K514">
        <v>3780</v>
      </c>
      <c r="L514">
        <v>4300</v>
      </c>
    </row>
    <row r="515" spans="1:12" x14ac:dyDescent="0.55000000000000004">
      <c r="A515">
        <v>2017</v>
      </c>
      <c r="B515" t="s">
        <v>53</v>
      </c>
      <c r="C515" t="s">
        <v>231</v>
      </c>
      <c r="D515" t="s">
        <v>74</v>
      </c>
      <c r="E515">
        <v>93.3</v>
      </c>
      <c r="F515">
        <v>60</v>
      </c>
      <c r="G515">
        <v>3034</v>
      </c>
      <c r="H515">
        <v>2890</v>
      </c>
      <c r="I515">
        <v>3079</v>
      </c>
      <c r="J515">
        <v>2920</v>
      </c>
      <c r="K515">
        <v>2600</v>
      </c>
      <c r="L515">
        <v>3200</v>
      </c>
    </row>
    <row r="516" spans="1:12" x14ac:dyDescent="0.55000000000000004">
      <c r="A516">
        <v>2017</v>
      </c>
      <c r="B516" t="s">
        <v>53</v>
      </c>
      <c r="C516" t="s">
        <v>231</v>
      </c>
      <c r="D516" t="s">
        <v>75</v>
      </c>
      <c r="E516">
        <v>90.8</v>
      </c>
      <c r="F516">
        <v>81.7</v>
      </c>
      <c r="G516">
        <v>3105</v>
      </c>
      <c r="H516">
        <v>3000</v>
      </c>
      <c r="I516">
        <v>3162</v>
      </c>
      <c r="J516">
        <v>3000</v>
      </c>
      <c r="K516">
        <v>2900</v>
      </c>
      <c r="L516">
        <v>3300</v>
      </c>
    </row>
    <row r="517" spans="1:12" x14ac:dyDescent="0.55000000000000004">
      <c r="A517">
        <v>2017</v>
      </c>
      <c r="B517" t="s">
        <v>53</v>
      </c>
      <c r="C517" t="s">
        <v>231</v>
      </c>
      <c r="D517" t="s">
        <v>76</v>
      </c>
      <c r="E517">
        <v>93.8</v>
      </c>
      <c r="F517">
        <v>88.7</v>
      </c>
      <c r="G517">
        <v>3090</v>
      </c>
      <c r="H517">
        <v>3000</v>
      </c>
      <c r="I517">
        <v>3168</v>
      </c>
      <c r="J517">
        <v>3000</v>
      </c>
      <c r="K517">
        <v>2800</v>
      </c>
      <c r="L517">
        <v>3300</v>
      </c>
    </row>
    <row r="518" spans="1:12" x14ac:dyDescent="0.55000000000000004">
      <c r="A518">
        <v>2017</v>
      </c>
      <c r="B518" t="s">
        <v>53</v>
      </c>
      <c r="C518" t="s">
        <v>232</v>
      </c>
      <c r="D518" t="s">
        <v>287</v>
      </c>
      <c r="E518">
        <v>100</v>
      </c>
      <c r="F518">
        <v>100</v>
      </c>
      <c r="G518">
        <v>4367</v>
      </c>
      <c r="H518">
        <v>4500</v>
      </c>
      <c r="I518">
        <v>4882</v>
      </c>
      <c r="J518">
        <v>5000</v>
      </c>
      <c r="K518">
        <v>4500</v>
      </c>
      <c r="L518">
        <v>5305</v>
      </c>
    </row>
    <row r="519" spans="1:12" x14ac:dyDescent="0.55000000000000004">
      <c r="A519">
        <v>2017</v>
      </c>
      <c r="B519" t="s">
        <v>53</v>
      </c>
      <c r="C519" t="s">
        <v>232</v>
      </c>
      <c r="D519" t="s">
        <v>92</v>
      </c>
      <c r="E519">
        <v>97.4</v>
      </c>
      <c r="F519">
        <v>97.4</v>
      </c>
      <c r="G519">
        <v>3165</v>
      </c>
      <c r="H519">
        <v>3200</v>
      </c>
      <c r="I519">
        <v>3328</v>
      </c>
      <c r="J519">
        <v>3400</v>
      </c>
      <c r="K519">
        <v>3200</v>
      </c>
      <c r="L519">
        <v>3450</v>
      </c>
    </row>
    <row r="520" spans="1:12" x14ac:dyDescent="0.55000000000000004">
      <c r="A520">
        <v>2017</v>
      </c>
      <c r="B520" t="s">
        <v>53</v>
      </c>
      <c r="C520" t="s">
        <v>232</v>
      </c>
      <c r="D520" t="s">
        <v>93</v>
      </c>
      <c r="E520">
        <v>91.8</v>
      </c>
      <c r="F520">
        <v>89.8</v>
      </c>
      <c r="G520">
        <v>3280</v>
      </c>
      <c r="H520">
        <v>3300</v>
      </c>
      <c r="I520">
        <v>3462</v>
      </c>
      <c r="J520">
        <v>3500</v>
      </c>
      <c r="K520">
        <v>3300</v>
      </c>
      <c r="L520">
        <v>3650</v>
      </c>
    </row>
    <row r="521" spans="1:12" x14ac:dyDescent="0.55000000000000004">
      <c r="A521">
        <v>2017</v>
      </c>
      <c r="B521" t="s">
        <v>53</v>
      </c>
      <c r="C521" t="s">
        <v>288</v>
      </c>
      <c r="D521" t="s">
        <v>193</v>
      </c>
      <c r="E521">
        <v>73.3</v>
      </c>
      <c r="F521">
        <v>26.7</v>
      </c>
      <c r="G521">
        <v>2298</v>
      </c>
      <c r="H521">
        <v>2025</v>
      </c>
      <c r="I521">
        <v>2500</v>
      </c>
      <c r="J521">
        <v>2225</v>
      </c>
      <c r="K521">
        <v>2050</v>
      </c>
      <c r="L521">
        <v>2950</v>
      </c>
    </row>
    <row r="522" spans="1:12" x14ac:dyDescent="0.55000000000000004">
      <c r="A522">
        <v>2017</v>
      </c>
      <c r="B522" t="s">
        <v>53</v>
      </c>
      <c r="C522" t="s">
        <v>289</v>
      </c>
      <c r="D522" t="s">
        <v>290</v>
      </c>
      <c r="E522">
        <v>93.5</v>
      </c>
      <c r="F522">
        <v>76.599999999999994</v>
      </c>
      <c r="G522">
        <v>3812</v>
      </c>
      <c r="H522">
        <v>3500</v>
      </c>
      <c r="I522">
        <v>3956</v>
      </c>
      <c r="J522">
        <v>3500</v>
      </c>
      <c r="K522">
        <v>3075</v>
      </c>
      <c r="L522">
        <v>4000</v>
      </c>
    </row>
    <row r="523" spans="1:12" x14ac:dyDescent="0.55000000000000004">
      <c r="A523">
        <v>2017</v>
      </c>
      <c r="B523" t="s">
        <v>53</v>
      </c>
      <c r="C523" t="s">
        <v>289</v>
      </c>
      <c r="D523" t="s">
        <v>291</v>
      </c>
      <c r="E523">
        <v>91.7</v>
      </c>
      <c r="F523">
        <v>75</v>
      </c>
      <c r="G523">
        <v>4362</v>
      </c>
      <c r="H523">
        <v>4083</v>
      </c>
      <c r="I523">
        <v>4362</v>
      </c>
      <c r="J523">
        <v>4083</v>
      </c>
      <c r="K523">
        <v>3600</v>
      </c>
      <c r="L523">
        <v>4875</v>
      </c>
    </row>
    <row r="524" spans="1:12" x14ac:dyDescent="0.55000000000000004">
      <c r="A524">
        <v>2017</v>
      </c>
      <c r="B524" t="s">
        <v>53</v>
      </c>
      <c r="C524" t="s">
        <v>292</v>
      </c>
      <c r="D524" t="s">
        <v>81</v>
      </c>
      <c r="E524">
        <v>89.4</v>
      </c>
      <c r="F524">
        <v>84.7</v>
      </c>
      <c r="G524">
        <v>4010</v>
      </c>
      <c r="H524">
        <v>3600</v>
      </c>
      <c r="I524">
        <v>4131</v>
      </c>
      <c r="J524">
        <v>3900</v>
      </c>
      <c r="K524">
        <v>3588</v>
      </c>
      <c r="L524">
        <v>4500</v>
      </c>
    </row>
    <row r="525" spans="1:12" x14ac:dyDescent="0.55000000000000004">
      <c r="A525">
        <v>2017</v>
      </c>
      <c r="B525" t="s">
        <v>53</v>
      </c>
      <c r="C525" t="s">
        <v>292</v>
      </c>
      <c r="D525" t="s">
        <v>195</v>
      </c>
      <c r="E525">
        <v>88.7</v>
      </c>
      <c r="F525">
        <v>62.3</v>
      </c>
      <c r="G525">
        <v>3297</v>
      </c>
      <c r="H525">
        <v>3200</v>
      </c>
      <c r="I525">
        <v>3419</v>
      </c>
      <c r="J525">
        <v>3300</v>
      </c>
      <c r="K525">
        <v>3000</v>
      </c>
      <c r="L525">
        <v>3600</v>
      </c>
    </row>
    <row r="526" spans="1:12" x14ac:dyDescent="0.55000000000000004">
      <c r="A526">
        <v>2017</v>
      </c>
      <c r="B526" t="s">
        <v>103</v>
      </c>
      <c r="C526" t="s">
        <v>104</v>
      </c>
      <c r="D526" t="s">
        <v>196</v>
      </c>
      <c r="E526">
        <v>98</v>
      </c>
      <c r="F526">
        <v>96.6</v>
      </c>
      <c r="G526">
        <v>3569</v>
      </c>
      <c r="H526">
        <v>3000</v>
      </c>
      <c r="I526">
        <v>3646</v>
      </c>
      <c r="J526">
        <v>3000</v>
      </c>
      <c r="K526">
        <v>2920</v>
      </c>
      <c r="L526">
        <v>3600</v>
      </c>
    </row>
    <row r="527" spans="1:12" x14ac:dyDescent="0.55000000000000004">
      <c r="A527">
        <v>2017</v>
      </c>
      <c r="B527" t="s">
        <v>103</v>
      </c>
      <c r="C527" t="s">
        <v>104</v>
      </c>
      <c r="D527" t="s">
        <v>197</v>
      </c>
      <c r="E527">
        <v>97.8</v>
      </c>
      <c r="F527">
        <v>97.8</v>
      </c>
      <c r="G527">
        <v>4037</v>
      </c>
      <c r="H527">
        <v>3200</v>
      </c>
      <c r="I527">
        <v>4089</v>
      </c>
      <c r="J527">
        <v>3200</v>
      </c>
      <c r="K527">
        <v>3000</v>
      </c>
      <c r="L527">
        <v>4645</v>
      </c>
    </row>
    <row r="528" spans="1:12" x14ac:dyDescent="0.55000000000000004">
      <c r="A528">
        <v>2017</v>
      </c>
      <c r="B528" t="s">
        <v>103</v>
      </c>
      <c r="C528" t="s">
        <v>107</v>
      </c>
      <c r="D528" t="s">
        <v>198</v>
      </c>
      <c r="E528">
        <v>93.3</v>
      </c>
      <c r="F528">
        <v>85.7</v>
      </c>
      <c r="G528">
        <v>3862</v>
      </c>
      <c r="H528">
        <v>3475</v>
      </c>
      <c r="I528">
        <v>3995</v>
      </c>
      <c r="J528">
        <v>3500</v>
      </c>
      <c r="K528">
        <v>3050</v>
      </c>
      <c r="L528">
        <v>4362</v>
      </c>
    </row>
    <row r="529" spans="1:12" x14ac:dyDescent="0.55000000000000004">
      <c r="A529">
        <v>2017</v>
      </c>
      <c r="B529" t="s">
        <v>103</v>
      </c>
      <c r="C529" t="s">
        <v>107</v>
      </c>
      <c r="D529" t="s">
        <v>199</v>
      </c>
      <c r="E529">
        <v>95.8</v>
      </c>
      <c r="F529">
        <v>92</v>
      </c>
      <c r="G529">
        <v>4364</v>
      </c>
      <c r="H529">
        <v>3880</v>
      </c>
      <c r="I529">
        <v>4504</v>
      </c>
      <c r="J529">
        <v>4000</v>
      </c>
      <c r="K529">
        <v>3300</v>
      </c>
      <c r="L529">
        <v>5000</v>
      </c>
    </row>
    <row r="530" spans="1:12" x14ac:dyDescent="0.55000000000000004">
      <c r="A530">
        <v>2017</v>
      </c>
      <c r="B530" t="s">
        <v>103</v>
      </c>
      <c r="C530" t="s">
        <v>110</v>
      </c>
      <c r="D530" t="s">
        <v>35</v>
      </c>
      <c r="E530">
        <v>91.3</v>
      </c>
      <c r="F530">
        <v>82.6</v>
      </c>
      <c r="G530">
        <v>4013</v>
      </c>
      <c r="H530">
        <v>3600</v>
      </c>
      <c r="I530">
        <v>4143</v>
      </c>
      <c r="J530">
        <v>3700</v>
      </c>
      <c r="K530">
        <v>3300</v>
      </c>
      <c r="L530">
        <v>4583</v>
      </c>
    </row>
    <row r="531" spans="1:12" x14ac:dyDescent="0.55000000000000004">
      <c r="A531">
        <v>2017</v>
      </c>
      <c r="B531" t="s">
        <v>103</v>
      </c>
      <c r="C531" t="s">
        <v>110</v>
      </c>
      <c r="D531" t="s">
        <v>200</v>
      </c>
      <c r="E531">
        <v>93.2</v>
      </c>
      <c r="F531">
        <v>90.5</v>
      </c>
      <c r="G531">
        <v>4591</v>
      </c>
      <c r="H531">
        <v>4000</v>
      </c>
      <c r="I531">
        <v>4737</v>
      </c>
      <c r="J531">
        <v>4100</v>
      </c>
      <c r="K531">
        <v>3600</v>
      </c>
      <c r="L531">
        <v>5113</v>
      </c>
    </row>
    <row r="532" spans="1:12" x14ac:dyDescent="0.55000000000000004">
      <c r="A532">
        <v>2017</v>
      </c>
      <c r="B532" t="s">
        <v>103</v>
      </c>
      <c r="C532" t="s">
        <v>113</v>
      </c>
      <c r="D532" t="s">
        <v>201</v>
      </c>
      <c r="E532">
        <v>95.1</v>
      </c>
      <c r="F532">
        <v>91.3</v>
      </c>
      <c r="G532">
        <v>3922</v>
      </c>
      <c r="H532">
        <v>3905</v>
      </c>
      <c r="I532">
        <v>4014</v>
      </c>
      <c r="J532">
        <v>4000</v>
      </c>
      <c r="K532">
        <v>3550</v>
      </c>
      <c r="L532">
        <v>4500</v>
      </c>
    </row>
    <row r="533" spans="1:12" x14ac:dyDescent="0.55000000000000004">
      <c r="A533">
        <v>2017</v>
      </c>
      <c r="B533" t="s">
        <v>103</v>
      </c>
      <c r="C533" t="s">
        <v>113</v>
      </c>
      <c r="D533" t="s">
        <v>202</v>
      </c>
      <c r="E533">
        <v>96.1</v>
      </c>
      <c r="F533">
        <v>94.1</v>
      </c>
      <c r="G533">
        <v>4211</v>
      </c>
      <c r="H533">
        <v>4334</v>
      </c>
      <c r="I533">
        <v>4305</v>
      </c>
      <c r="J533">
        <v>4334</v>
      </c>
      <c r="K533">
        <v>4000</v>
      </c>
      <c r="L533">
        <v>4750</v>
      </c>
    </row>
    <row r="534" spans="1:12" x14ac:dyDescent="0.55000000000000004">
      <c r="A534">
        <v>2017</v>
      </c>
      <c r="B534" t="s">
        <v>103</v>
      </c>
      <c r="C534" t="s">
        <v>116</v>
      </c>
      <c r="D534" t="s">
        <v>203</v>
      </c>
      <c r="E534">
        <v>91.3</v>
      </c>
      <c r="F534">
        <v>78</v>
      </c>
      <c r="G534">
        <v>3344</v>
      </c>
      <c r="H534">
        <v>3250</v>
      </c>
      <c r="I534">
        <v>3493</v>
      </c>
      <c r="J534">
        <v>3300</v>
      </c>
      <c r="K534">
        <v>3000</v>
      </c>
      <c r="L534">
        <v>3750</v>
      </c>
    </row>
    <row r="535" spans="1:12" x14ac:dyDescent="0.55000000000000004">
      <c r="A535">
        <v>2017</v>
      </c>
      <c r="B535" t="s">
        <v>103</v>
      </c>
      <c r="C535" t="s">
        <v>116</v>
      </c>
      <c r="D535" t="s">
        <v>204</v>
      </c>
      <c r="E535">
        <v>87.9</v>
      </c>
      <c r="F535">
        <v>81.8</v>
      </c>
      <c r="G535">
        <v>3810</v>
      </c>
      <c r="H535">
        <v>3600</v>
      </c>
      <c r="I535">
        <v>3938</v>
      </c>
      <c r="J535">
        <v>3630</v>
      </c>
      <c r="K535">
        <v>3300</v>
      </c>
      <c r="L535">
        <v>4000</v>
      </c>
    </row>
    <row r="536" spans="1:12" x14ac:dyDescent="0.55000000000000004">
      <c r="A536">
        <v>2017</v>
      </c>
      <c r="B536" t="s">
        <v>103</v>
      </c>
      <c r="C536" t="s">
        <v>119</v>
      </c>
      <c r="D536" t="s">
        <v>205</v>
      </c>
      <c r="E536">
        <v>97.6</v>
      </c>
      <c r="F536">
        <v>94</v>
      </c>
      <c r="G536">
        <v>4778</v>
      </c>
      <c r="H536">
        <v>4500</v>
      </c>
      <c r="I536">
        <v>4941</v>
      </c>
      <c r="J536">
        <v>5000</v>
      </c>
      <c r="K536">
        <v>4000</v>
      </c>
      <c r="L536">
        <v>5840</v>
      </c>
    </row>
    <row r="537" spans="1:12" x14ac:dyDescent="0.55000000000000004">
      <c r="A537">
        <v>2017</v>
      </c>
      <c r="B537" t="s">
        <v>103</v>
      </c>
      <c r="C537" t="s">
        <v>119</v>
      </c>
      <c r="D537" t="s">
        <v>206</v>
      </c>
      <c r="E537">
        <v>97.9</v>
      </c>
      <c r="F537">
        <v>97.9</v>
      </c>
      <c r="G537">
        <v>5163</v>
      </c>
      <c r="H537">
        <v>5450</v>
      </c>
      <c r="I537">
        <v>5287</v>
      </c>
      <c r="J537">
        <v>5600</v>
      </c>
      <c r="K537">
        <v>4200</v>
      </c>
      <c r="L537">
        <v>6000</v>
      </c>
    </row>
    <row r="538" spans="1:12" x14ac:dyDescent="0.55000000000000004">
      <c r="A538">
        <v>2017</v>
      </c>
      <c r="B538" t="s">
        <v>146</v>
      </c>
      <c r="C538" t="s">
        <v>147</v>
      </c>
      <c r="D538" t="s">
        <v>293</v>
      </c>
      <c r="E538">
        <v>96.2</v>
      </c>
      <c r="F538">
        <v>92.3</v>
      </c>
      <c r="G538">
        <v>3040</v>
      </c>
      <c r="H538">
        <v>3000</v>
      </c>
      <c r="I538">
        <v>3067</v>
      </c>
      <c r="J538">
        <v>3000</v>
      </c>
      <c r="K538">
        <v>2800</v>
      </c>
      <c r="L538">
        <v>3200</v>
      </c>
    </row>
    <row r="539" spans="1:12" x14ac:dyDescent="0.55000000000000004">
      <c r="A539">
        <v>2017</v>
      </c>
      <c r="B539" t="s">
        <v>146</v>
      </c>
      <c r="C539" t="s">
        <v>147</v>
      </c>
      <c r="D539" t="s">
        <v>294</v>
      </c>
      <c r="E539">
        <v>88.5</v>
      </c>
      <c r="F539">
        <v>69.2</v>
      </c>
      <c r="G539">
        <v>2859</v>
      </c>
      <c r="H539">
        <v>2825</v>
      </c>
      <c r="I539">
        <v>2876</v>
      </c>
      <c r="J539">
        <v>2875</v>
      </c>
      <c r="K539">
        <v>2700</v>
      </c>
      <c r="L539">
        <v>3000</v>
      </c>
    </row>
    <row r="540" spans="1:12" x14ac:dyDescent="0.55000000000000004">
      <c r="A540">
        <v>2017</v>
      </c>
      <c r="B540" t="s">
        <v>146</v>
      </c>
      <c r="C540" t="s">
        <v>147</v>
      </c>
      <c r="D540" t="s">
        <v>295</v>
      </c>
      <c r="E540">
        <v>100</v>
      </c>
      <c r="F540">
        <v>100</v>
      </c>
      <c r="G540">
        <v>3232</v>
      </c>
      <c r="H540">
        <v>3250</v>
      </c>
      <c r="I540">
        <v>3291</v>
      </c>
      <c r="J540">
        <v>3250</v>
      </c>
      <c r="K540">
        <v>2900</v>
      </c>
      <c r="L540">
        <v>3600</v>
      </c>
    </row>
    <row r="541" spans="1:12" x14ac:dyDescent="0.55000000000000004">
      <c r="A541">
        <v>2017</v>
      </c>
      <c r="B541" t="s">
        <v>146</v>
      </c>
      <c r="C541" t="s">
        <v>147</v>
      </c>
      <c r="D541" t="s">
        <v>151</v>
      </c>
      <c r="E541">
        <v>96.9</v>
      </c>
      <c r="F541">
        <v>90.6</v>
      </c>
      <c r="G541">
        <v>3898</v>
      </c>
      <c r="H541">
        <v>3800</v>
      </c>
      <c r="I541">
        <v>3904</v>
      </c>
      <c r="J541">
        <v>3800</v>
      </c>
      <c r="K541">
        <v>3558</v>
      </c>
      <c r="L541">
        <v>4140</v>
      </c>
    </row>
    <row r="542" spans="1:12" x14ac:dyDescent="0.55000000000000004">
      <c r="A542">
        <v>2017</v>
      </c>
      <c r="B542" t="s">
        <v>146</v>
      </c>
      <c r="C542" t="s">
        <v>152</v>
      </c>
      <c r="D542" t="s">
        <v>153</v>
      </c>
      <c r="E542">
        <v>90.7</v>
      </c>
      <c r="F542">
        <v>68.5</v>
      </c>
      <c r="G542">
        <v>2819</v>
      </c>
      <c r="H542">
        <v>2600</v>
      </c>
      <c r="I542">
        <v>2949</v>
      </c>
      <c r="J542">
        <v>2700</v>
      </c>
      <c r="K542">
        <v>2500</v>
      </c>
      <c r="L542">
        <v>3200</v>
      </c>
    </row>
    <row r="543" spans="1:12" x14ac:dyDescent="0.55000000000000004">
      <c r="A543">
        <v>2017</v>
      </c>
      <c r="B543" t="s">
        <v>146</v>
      </c>
      <c r="C543" t="s">
        <v>152</v>
      </c>
      <c r="D543" t="s">
        <v>154</v>
      </c>
      <c r="E543">
        <v>92.3</v>
      </c>
      <c r="F543">
        <v>87.2</v>
      </c>
      <c r="G543">
        <v>2818</v>
      </c>
      <c r="H543">
        <v>2700</v>
      </c>
      <c r="I543">
        <v>2841</v>
      </c>
      <c r="J543">
        <v>2700</v>
      </c>
      <c r="K543">
        <v>2500</v>
      </c>
      <c r="L543">
        <v>3000</v>
      </c>
    </row>
    <row r="544" spans="1:12" x14ac:dyDescent="0.55000000000000004">
      <c r="A544">
        <v>2017</v>
      </c>
      <c r="B544" t="s">
        <v>146</v>
      </c>
      <c r="C544" t="s">
        <v>155</v>
      </c>
      <c r="D544" t="s">
        <v>156</v>
      </c>
      <c r="E544">
        <v>77.3</v>
      </c>
      <c r="F544">
        <v>62.1</v>
      </c>
      <c r="G544">
        <v>3061</v>
      </c>
      <c r="H544">
        <v>3100</v>
      </c>
      <c r="I544">
        <v>3290</v>
      </c>
      <c r="J544">
        <v>3255</v>
      </c>
      <c r="K544">
        <v>2975</v>
      </c>
      <c r="L544">
        <v>3600</v>
      </c>
    </row>
    <row r="545" spans="1:12" x14ac:dyDescent="0.55000000000000004">
      <c r="A545">
        <v>2017</v>
      </c>
      <c r="B545" t="s">
        <v>146</v>
      </c>
      <c r="C545" t="s">
        <v>155</v>
      </c>
      <c r="D545" t="s">
        <v>214</v>
      </c>
      <c r="E545">
        <v>94.4</v>
      </c>
      <c r="F545">
        <v>88.9</v>
      </c>
      <c r="G545">
        <v>3191</v>
      </c>
      <c r="H545">
        <v>3200</v>
      </c>
      <c r="I545">
        <v>3269</v>
      </c>
      <c r="J545">
        <v>3200</v>
      </c>
      <c r="K545">
        <v>3000</v>
      </c>
      <c r="L545">
        <v>3450</v>
      </c>
    </row>
    <row r="546" spans="1:12" x14ac:dyDescent="0.55000000000000004">
      <c r="A546">
        <v>2017</v>
      </c>
      <c r="B546" t="s">
        <v>146</v>
      </c>
      <c r="C546" t="s">
        <v>155</v>
      </c>
      <c r="D546" t="s">
        <v>296</v>
      </c>
      <c r="E546">
        <v>96.2</v>
      </c>
      <c r="F546">
        <v>88.5</v>
      </c>
      <c r="G546">
        <v>3461</v>
      </c>
      <c r="H546">
        <v>3300</v>
      </c>
      <c r="I546">
        <v>3541</v>
      </c>
      <c r="J546">
        <v>3500</v>
      </c>
      <c r="K546">
        <v>3000</v>
      </c>
      <c r="L546">
        <v>4000</v>
      </c>
    </row>
    <row r="547" spans="1:12" x14ac:dyDescent="0.55000000000000004">
      <c r="A547">
        <v>2017</v>
      </c>
      <c r="B547" t="s">
        <v>146</v>
      </c>
      <c r="C547" t="s">
        <v>155</v>
      </c>
      <c r="D547" t="s">
        <v>158</v>
      </c>
      <c r="E547">
        <v>90.5</v>
      </c>
      <c r="F547">
        <v>85.7</v>
      </c>
      <c r="G547">
        <v>3063</v>
      </c>
      <c r="H547">
        <v>3000</v>
      </c>
      <c r="I547">
        <v>3145</v>
      </c>
      <c r="J547">
        <v>3000</v>
      </c>
      <c r="K547">
        <v>2800</v>
      </c>
      <c r="L547">
        <v>3350</v>
      </c>
    </row>
    <row r="548" spans="1:12" x14ac:dyDescent="0.55000000000000004">
      <c r="A548">
        <v>2017</v>
      </c>
      <c r="B548" t="s">
        <v>146</v>
      </c>
      <c r="C548" t="s">
        <v>155</v>
      </c>
      <c r="D548" t="s">
        <v>297</v>
      </c>
      <c r="E548">
        <v>95.5</v>
      </c>
      <c r="F548">
        <v>95.5</v>
      </c>
      <c r="G548">
        <v>3451</v>
      </c>
      <c r="H548">
        <v>3300</v>
      </c>
      <c r="I548">
        <v>3537</v>
      </c>
      <c r="J548">
        <v>3300</v>
      </c>
      <c r="K548">
        <v>3200</v>
      </c>
      <c r="L548">
        <v>3500</v>
      </c>
    </row>
    <row r="549" spans="1:12" x14ac:dyDescent="0.55000000000000004">
      <c r="A549">
        <v>2017</v>
      </c>
      <c r="B549" t="s">
        <v>146</v>
      </c>
      <c r="C549" t="s">
        <v>155</v>
      </c>
      <c r="D549" t="s">
        <v>298</v>
      </c>
      <c r="E549">
        <v>100</v>
      </c>
      <c r="F549">
        <v>86.7</v>
      </c>
      <c r="G549">
        <v>3792</v>
      </c>
      <c r="H549">
        <v>3300</v>
      </c>
      <c r="I549">
        <v>3866</v>
      </c>
      <c r="J549">
        <v>3300</v>
      </c>
      <c r="K549">
        <v>3300</v>
      </c>
      <c r="L549">
        <v>3950</v>
      </c>
    </row>
    <row r="550" spans="1:12" x14ac:dyDescent="0.55000000000000004">
      <c r="A550">
        <v>2017</v>
      </c>
      <c r="B550" t="s">
        <v>146</v>
      </c>
      <c r="C550" t="s">
        <v>155</v>
      </c>
      <c r="D550" t="s">
        <v>161</v>
      </c>
      <c r="E550">
        <v>97.7</v>
      </c>
      <c r="F550">
        <v>79.099999999999994</v>
      </c>
      <c r="G550">
        <v>2784</v>
      </c>
      <c r="H550">
        <v>2600</v>
      </c>
      <c r="I550">
        <v>2980</v>
      </c>
      <c r="J550">
        <v>2700</v>
      </c>
      <c r="K550">
        <v>2475</v>
      </c>
      <c r="L550">
        <v>3200</v>
      </c>
    </row>
    <row r="551" spans="1:12" x14ac:dyDescent="0.55000000000000004">
      <c r="A551">
        <v>2017</v>
      </c>
      <c r="B551" t="s">
        <v>146</v>
      </c>
      <c r="C551" t="s">
        <v>162</v>
      </c>
      <c r="D551" t="s">
        <v>163</v>
      </c>
      <c r="E551">
        <v>84.5</v>
      </c>
      <c r="F551">
        <v>74.099999999999994</v>
      </c>
      <c r="G551">
        <v>3061</v>
      </c>
      <c r="H551">
        <v>3000</v>
      </c>
      <c r="I551">
        <v>3301</v>
      </c>
      <c r="J551">
        <v>3200</v>
      </c>
      <c r="K551">
        <v>3000</v>
      </c>
      <c r="L551">
        <v>3375</v>
      </c>
    </row>
    <row r="552" spans="1:12" x14ac:dyDescent="0.55000000000000004">
      <c r="A552">
        <v>2017</v>
      </c>
      <c r="B552" t="s">
        <v>146</v>
      </c>
      <c r="C552" t="s">
        <v>162</v>
      </c>
      <c r="D552" t="s">
        <v>164</v>
      </c>
      <c r="E552">
        <v>82.8</v>
      </c>
      <c r="F552">
        <v>82.8</v>
      </c>
      <c r="G552">
        <v>3504</v>
      </c>
      <c r="H552">
        <v>3175</v>
      </c>
      <c r="I552">
        <v>3591</v>
      </c>
      <c r="J552">
        <v>3400</v>
      </c>
      <c r="K552">
        <v>3000</v>
      </c>
      <c r="L552">
        <v>4000</v>
      </c>
    </row>
    <row r="553" spans="1:12" x14ac:dyDescent="0.55000000000000004">
      <c r="A553">
        <v>2017</v>
      </c>
      <c r="B553" t="s">
        <v>146</v>
      </c>
      <c r="C553" t="s">
        <v>165</v>
      </c>
      <c r="D553" t="s">
        <v>166</v>
      </c>
      <c r="E553">
        <v>87.9</v>
      </c>
      <c r="F553">
        <v>54.5</v>
      </c>
      <c r="G553">
        <v>2357</v>
      </c>
      <c r="H553">
        <v>2300</v>
      </c>
      <c r="I553">
        <v>2598</v>
      </c>
      <c r="J553">
        <v>2300</v>
      </c>
      <c r="K553">
        <v>2200</v>
      </c>
      <c r="L553">
        <v>3259</v>
      </c>
    </row>
    <row r="554" spans="1:12" x14ac:dyDescent="0.55000000000000004">
      <c r="A554">
        <v>2017</v>
      </c>
      <c r="B554" t="s">
        <v>146</v>
      </c>
      <c r="C554" t="s">
        <v>299</v>
      </c>
      <c r="D554" t="s">
        <v>300</v>
      </c>
      <c r="E554" t="s">
        <v>42</v>
      </c>
      <c r="F554" t="s">
        <v>42</v>
      </c>
      <c r="G554" t="s">
        <v>42</v>
      </c>
      <c r="H554" t="s">
        <v>42</v>
      </c>
      <c r="I554" t="s">
        <v>42</v>
      </c>
      <c r="J554" t="s">
        <v>42</v>
      </c>
      <c r="K554" t="s">
        <v>42</v>
      </c>
      <c r="L554" t="s">
        <v>42</v>
      </c>
    </row>
    <row r="555" spans="1:12" x14ac:dyDescent="0.55000000000000004">
      <c r="A555">
        <v>2017</v>
      </c>
      <c r="B555" t="s">
        <v>146</v>
      </c>
      <c r="C555" t="s">
        <v>299</v>
      </c>
      <c r="D555" t="s">
        <v>168</v>
      </c>
      <c r="E555">
        <v>100</v>
      </c>
      <c r="F555">
        <v>97.1</v>
      </c>
      <c r="G555">
        <v>3217</v>
      </c>
      <c r="H555">
        <v>3250</v>
      </c>
      <c r="I555">
        <v>3258</v>
      </c>
      <c r="J555">
        <v>3300</v>
      </c>
      <c r="K555">
        <v>3020</v>
      </c>
      <c r="L555">
        <v>3450</v>
      </c>
    </row>
    <row r="556" spans="1:12" x14ac:dyDescent="0.55000000000000004">
      <c r="A556">
        <v>2017</v>
      </c>
      <c r="B556" t="s">
        <v>146</v>
      </c>
      <c r="C556" t="s">
        <v>299</v>
      </c>
      <c r="D556" t="s">
        <v>169</v>
      </c>
      <c r="E556">
        <v>100</v>
      </c>
      <c r="F556">
        <v>96.8</v>
      </c>
      <c r="G556">
        <v>3483</v>
      </c>
      <c r="H556">
        <v>3350</v>
      </c>
      <c r="I556">
        <v>3489</v>
      </c>
      <c r="J556">
        <v>3400</v>
      </c>
      <c r="K556">
        <v>3300</v>
      </c>
      <c r="L556">
        <v>3500</v>
      </c>
    </row>
    <row r="557" spans="1:12" x14ac:dyDescent="0.55000000000000004">
      <c r="A557">
        <v>2017</v>
      </c>
      <c r="B557" t="s">
        <v>146</v>
      </c>
      <c r="C557" t="s">
        <v>299</v>
      </c>
      <c r="D557" t="s">
        <v>217</v>
      </c>
      <c r="E557" t="s">
        <v>42</v>
      </c>
      <c r="F557" t="s">
        <v>42</v>
      </c>
      <c r="G557" t="s">
        <v>42</v>
      </c>
      <c r="H557" t="s">
        <v>42</v>
      </c>
      <c r="I557" t="s">
        <v>42</v>
      </c>
      <c r="J557" t="s">
        <v>42</v>
      </c>
      <c r="K557" t="s">
        <v>42</v>
      </c>
      <c r="L557" t="s">
        <v>42</v>
      </c>
    </row>
    <row r="558" spans="1:12" x14ac:dyDescent="0.55000000000000004">
      <c r="A558">
        <v>2017</v>
      </c>
      <c r="B558" t="s">
        <v>146</v>
      </c>
      <c r="C558" t="s">
        <v>170</v>
      </c>
      <c r="D558" t="s">
        <v>171</v>
      </c>
      <c r="E558">
        <v>81.3</v>
      </c>
      <c r="F558">
        <v>65.599999999999994</v>
      </c>
      <c r="G558">
        <v>3367</v>
      </c>
      <c r="H558">
        <v>3100</v>
      </c>
      <c r="I558">
        <v>3481</v>
      </c>
      <c r="J558">
        <v>3200</v>
      </c>
      <c r="K558">
        <v>2950</v>
      </c>
      <c r="L558">
        <v>3700</v>
      </c>
    </row>
    <row r="559" spans="1:12" x14ac:dyDescent="0.55000000000000004">
      <c r="A559">
        <v>2017</v>
      </c>
      <c r="B559" t="s">
        <v>146</v>
      </c>
      <c r="C559" t="s">
        <v>170</v>
      </c>
      <c r="D559" t="s">
        <v>172</v>
      </c>
      <c r="E559">
        <v>80</v>
      </c>
      <c r="F559">
        <v>52.5</v>
      </c>
      <c r="G559">
        <v>3207</v>
      </c>
      <c r="H559">
        <v>3125</v>
      </c>
      <c r="I559">
        <v>3280</v>
      </c>
      <c r="J559">
        <v>3125</v>
      </c>
      <c r="K559">
        <v>2625</v>
      </c>
      <c r="L559">
        <v>3650</v>
      </c>
    </row>
    <row r="560" spans="1:12" x14ac:dyDescent="0.55000000000000004">
      <c r="A560">
        <v>2017</v>
      </c>
      <c r="B560" t="s">
        <v>146</v>
      </c>
      <c r="C560" t="s">
        <v>170</v>
      </c>
      <c r="D560" t="s">
        <v>173</v>
      </c>
      <c r="E560">
        <v>96.6</v>
      </c>
      <c r="F560">
        <v>87.9</v>
      </c>
      <c r="G560">
        <v>3608</v>
      </c>
      <c r="H560">
        <v>3100</v>
      </c>
      <c r="I560">
        <v>3670</v>
      </c>
      <c r="J560">
        <v>3200</v>
      </c>
      <c r="K560">
        <v>3000</v>
      </c>
      <c r="L560">
        <v>3700</v>
      </c>
    </row>
    <row r="561" spans="1:12" x14ac:dyDescent="0.55000000000000004">
      <c r="A561">
        <v>2017</v>
      </c>
      <c r="B561" t="s">
        <v>146</v>
      </c>
      <c r="C561" t="s">
        <v>170</v>
      </c>
      <c r="D561" t="s">
        <v>174</v>
      </c>
      <c r="E561">
        <v>94.6</v>
      </c>
      <c r="F561">
        <v>86.5</v>
      </c>
      <c r="G561">
        <v>3412</v>
      </c>
      <c r="H561">
        <v>3050</v>
      </c>
      <c r="I561">
        <v>3595</v>
      </c>
      <c r="J561">
        <v>3400</v>
      </c>
      <c r="K561">
        <v>3000</v>
      </c>
      <c r="L561">
        <v>4000</v>
      </c>
    </row>
    <row r="562" spans="1:12" x14ac:dyDescent="0.55000000000000004">
      <c r="A562">
        <v>2017</v>
      </c>
      <c r="B562" t="s">
        <v>146</v>
      </c>
      <c r="C562" t="s">
        <v>170</v>
      </c>
      <c r="D562" t="s">
        <v>218</v>
      </c>
      <c r="E562">
        <v>95.8</v>
      </c>
      <c r="F562">
        <v>85.9</v>
      </c>
      <c r="G562">
        <v>3633</v>
      </c>
      <c r="H562">
        <v>3600</v>
      </c>
      <c r="I562">
        <v>3724</v>
      </c>
      <c r="J562">
        <v>3600</v>
      </c>
      <c r="K562">
        <v>3300</v>
      </c>
      <c r="L562">
        <v>4200</v>
      </c>
    </row>
    <row r="563" spans="1:12" x14ac:dyDescent="0.55000000000000004">
      <c r="A563">
        <v>2017</v>
      </c>
      <c r="B563" t="s">
        <v>146</v>
      </c>
      <c r="C563" t="s">
        <v>175</v>
      </c>
      <c r="D563" t="s">
        <v>176</v>
      </c>
      <c r="E563">
        <v>98.2</v>
      </c>
      <c r="F563">
        <v>96.5</v>
      </c>
      <c r="G563">
        <v>3507</v>
      </c>
      <c r="H563">
        <v>3400</v>
      </c>
      <c r="I563">
        <v>3741</v>
      </c>
      <c r="J563">
        <v>3650</v>
      </c>
      <c r="K563">
        <v>3600</v>
      </c>
      <c r="L563">
        <v>3900</v>
      </c>
    </row>
    <row r="564" spans="1:12" x14ac:dyDescent="0.55000000000000004">
      <c r="A564">
        <v>2017</v>
      </c>
      <c r="B564" t="s">
        <v>146</v>
      </c>
      <c r="C564" t="s">
        <v>236</v>
      </c>
      <c r="D564" t="s">
        <v>237</v>
      </c>
      <c r="E564">
        <v>86.4</v>
      </c>
      <c r="F564">
        <v>69.5</v>
      </c>
      <c r="G564">
        <v>3759</v>
      </c>
      <c r="H564">
        <v>3800</v>
      </c>
      <c r="I564">
        <v>3825</v>
      </c>
      <c r="J564">
        <v>3800</v>
      </c>
      <c r="K564">
        <v>3050</v>
      </c>
      <c r="L564">
        <v>4160</v>
      </c>
    </row>
    <row r="565" spans="1:12" x14ac:dyDescent="0.55000000000000004">
      <c r="A565">
        <v>2017</v>
      </c>
      <c r="B565" t="s">
        <v>146</v>
      </c>
      <c r="C565" t="s">
        <v>179</v>
      </c>
      <c r="D565" t="s">
        <v>180</v>
      </c>
      <c r="E565">
        <v>96.4</v>
      </c>
      <c r="F565">
        <v>92.9</v>
      </c>
      <c r="G565">
        <v>2883</v>
      </c>
      <c r="H565">
        <v>2900</v>
      </c>
      <c r="I565">
        <v>2890</v>
      </c>
      <c r="J565">
        <v>2900</v>
      </c>
      <c r="K565">
        <v>2800</v>
      </c>
      <c r="L565">
        <v>3000</v>
      </c>
    </row>
    <row r="566" spans="1:12" x14ac:dyDescent="0.55000000000000004">
      <c r="A566">
        <v>2017</v>
      </c>
      <c r="B566" t="s">
        <v>146</v>
      </c>
      <c r="C566" t="s">
        <v>146</v>
      </c>
      <c r="D566" t="s">
        <v>301</v>
      </c>
      <c r="E566">
        <v>94.1</v>
      </c>
      <c r="F566">
        <v>92.1</v>
      </c>
      <c r="G566">
        <v>3073</v>
      </c>
      <c r="H566">
        <v>3050</v>
      </c>
      <c r="I566">
        <v>3113</v>
      </c>
      <c r="J566">
        <v>3088</v>
      </c>
      <c r="K566">
        <v>2975</v>
      </c>
      <c r="L566">
        <v>3250</v>
      </c>
    </row>
    <row r="567" spans="1:12" x14ac:dyDescent="0.55000000000000004">
      <c r="A567">
        <v>2017</v>
      </c>
      <c r="B567" t="s">
        <v>146</v>
      </c>
      <c r="C567" t="s">
        <v>146</v>
      </c>
      <c r="D567" t="s">
        <v>302</v>
      </c>
      <c r="E567">
        <v>94.7</v>
      </c>
      <c r="F567">
        <v>84.2</v>
      </c>
      <c r="G567">
        <v>2713</v>
      </c>
      <c r="H567">
        <v>2700</v>
      </c>
      <c r="I567">
        <v>2829</v>
      </c>
      <c r="J567">
        <v>2800</v>
      </c>
      <c r="K567">
        <v>2500</v>
      </c>
      <c r="L567">
        <v>3100</v>
      </c>
    </row>
    <row r="568" spans="1:12" x14ac:dyDescent="0.55000000000000004">
      <c r="A568">
        <v>2017</v>
      </c>
      <c r="B568" t="s">
        <v>207</v>
      </c>
      <c r="C568" t="s">
        <v>42</v>
      </c>
      <c r="D568" t="s">
        <v>208</v>
      </c>
      <c r="E568">
        <v>89.9</v>
      </c>
      <c r="F568">
        <v>87.3</v>
      </c>
      <c r="G568">
        <v>3594</v>
      </c>
      <c r="H568">
        <v>3600</v>
      </c>
      <c r="I568">
        <v>3638</v>
      </c>
      <c r="J568">
        <v>3600</v>
      </c>
      <c r="K568">
        <v>3450</v>
      </c>
      <c r="L568">
        <v>3800</v>
      </c>
    </row>
    <row r="569" spans="1:12" x14ac:dyDescent="0.55000000000000004">
      <c r="A569">
        <v>2017</v>
      </c>
      <c r="B569" t="s">
        <v>207</v>
      </c>
      <c r="C569" t="s">
        <v>42</v>
      </c>
      <c r="D569" t="s">
        <v>210</v>
      </c>
      <c r="E569">
        <v>100</v>
      </c>
      <c r="F569">
        <v>100</v>
      </c>
      <c r="G569">
        <v>4146</v>
      </c>
      <c r="H569">
        <v>4000</v>
      </c>
      <c r="I569">
        <v>4175</v>
      </c>
      <c r="J569">
        <v>4023</v>
      </c>
      <c r="K569">
        <v>3600</v>
      </c>
      <c r="L569">
        <v>4900</v>
      </c>
    </row>
    <row r="570" spans="1:12" x14ac:dyDescent="0.55000000000000004">
      <c r="A570">
        <v>2017</v>
      </c>
      <c r="B570" t="s">
        <v>207</v>
      </c>
      <c r="C570" t="s">
        <v>42</v>
      </c>
      <c r="D570" t="s">
        <v>209</v>
      </c>
      <c r="E570">
        <v>91.7</v>
      </c>
      <c r="F570">
        <v>85.4</v>
      </c>
      <c r="G570">
        <v>3856</v>
      </c>
      <c r="H570">
        <v>3800</v>
      </c>
      <c r="I570">
        <v>3956</v>
      </c>
      <c r="J570">
        <v>3850</v>
      </c>
      <c r="K570">
        <v>3600</v>
      </c>
      <c r="L570">
        <v>4210</v>
      </c>
    </row>
    <row r="571" spans="1:12" x14ac:dyDescent="0.55000000000000004">
      <c r="A571">
        <v>2017</v>
      </c>
      <c r="B571" t="s">
        <v>207</v>
      </c>
      <c r="C571" t="s">
        <v>42</v>
      </c>
      <c r="D571" t="s">
        <v>238</v>
      </c>
      <c r="E571" t="s">
        <v>42</v>
      </c>
      <c r="F571" t="s">
        <v>42</v>
      </c>
      <c r="G571" t="s">
        <v>42</v>
      </c>
      <c r="H571" t="s">
        <v>42</v>
      </c>
      <c r="I571" t="s">
        <v>42</v>
      </c>
      <c r="J571" t="s">
        <v>42</v>
      </c>
      <c r="K571" t="s">
        <v>42</v>
      </c>
      <c r="L571" t="s">
        <v>42</v>
      </c>
    </row>
    <row r="572" spans="1:12" x14ac:dyDescent="0.55000000000000004">
      <c r="A572">
        <v>2018</v>
      </c>
      <c r="B572" t="s">
        <v>12</v>
      </c>
      <c r="C572" t="s">
        <v>13</v>
      </c>
      <c r="D572" t="s">
        <v>196</v>
      </c>
      <c r="E572">
        <v>94.6</v>
      </c>
      <c r="F572">
        <v>92.2</v>
      </c>
      <c r="G572">
        <v>3214</v>
      </c>
      <c r="H572">
        <v>3000</v>
      </c>
      <c r="I572">
        <v>3245</v>
      </c>
      <c r="J572">
        <v>3000</v>
      </c>
      <c r="K572">
        <v>3000</v>
      </c>
      <c r="L572">
        <v>3200</v>
      </c>
    </row>
    <row r="573" spans="1:12" x14ac:dyDescent="0.55000000000000004">
      <c r="A573">
        <v>2018</v>
      </c>
      <c r="B573" t="s">
        <v>12</v>
      </c>
      <c r="C573" t="s">
        <v>13</v>
      </c>
      <c r="D573" t="s">
        <v>14</v>
      </c>
      <c r="E573">
        <v>99.2</v>
      </c>
      <c r="F573">
        <v>97.7</v>
      </c>
      <c r="G573">
        <v>4391</v>
      </c>
      <c r="H573">
        <v>4000</v>
      </c>
      <c r="I573">
        <v>4456</v>
      </c>
      <c r="J573">
        <v>4000</v>
      </c>
      <c r="K573">
        <v>3600</v>
      </c>
      <c r="L573">
        <v>4633</v>
      </c>
    </row>
    <row r="574" spans="1:12" x14ac:dyDescent="0.55000000000000004">
      <c r="A574">
        <v>2018</v>
      </c>
      <c r="B574" t="s">
        <v>12</v>
      </c>
      <c r="C574" t="s">
        <v>13</v>
      </c>
      <c r="D574" t="s">
        <v>219</v>
      </c>
      <c r="E574">
        <v>92.6</v>
      </c>
      <c r="F574">
        <v>84.3</v>
      </c>
      <c r="G574">
        <v>3646</v>
      </c>
      <c r="H574">
        <v>3500</v>
      </c>
      <c r="I574">
        <v>3776</v>
      </c>
      <c r="J574">
        <v>3500</v>
      </c>
      <c r="K574">
        <v>3200</v>
      </c>
      <c r="L574">
        <v>4000</v>
      </c>
    </row>
    <row r="575" spans="1:12" x14ac:dyDescent="0.55000000000000004">
      <c r="A575">
        <v>2018</v>
      </c>
      <c r="B575" t="s">
        <v>12</v>
      </c>
      <c r="C575" t="s">
        <v>13</v>
      </c>
      <c r="D575" t="s">
        <v>303</v>
      </c>
      <c r="E575">
        <v>100</v>
      </c>
      <c r="F575">
        <v>100</v>
      </c>
      <c r="G575">
        <v>4536</v>
      </c>
      <c r="H575">
        <v>4450</v>
      </c>
      <c r="I575">
        <v>4572</v>
      </c>
      <c r="J575">
        <v>4575</v>
      </c>
      <c r="K575">
        <v>4200</v>
      </c>
      <c r="L575">
        <v>4900</v>
      </c>
    </row>
    <row r="576" spans="1:12" x14ac:dyDescent="0.55000000000000004">
      <c r="A576">
        <v>2018</v>
      </c>
      <c r="B576" t="s">
        <v>12</v>
      </c>
      <c r="C576" t="s">
        <v>18</v>
      </c>
      <c r="D576" t="s">
        <v>19</v>
      </c>
      <c r="E576">
        <v>95.3</v>
      </c>
      <c r="F576">
        <v>88.4</v>
      </c>
      <c r="G576">
        <v>3710</v>
      </c>
      <c r="H576">
        <v>3625</v>
      </c>
      <c r="I576">
        <v>3873</v>
      </c>
      <c r="J576">
        <v>3800</v>
      </c>
      <c r="K576">
        <v>3365</v>
      </c>
      <c r="L576">
        <v>4280</v>
      </c>
    </row>
    <row r="577" spans="1:12" x14ac:dyDescent="0.55000000000000004">
      <c r="A577">
        <v>2018</v>
      </c>
      <c r="B577" t="s">
        <v>12</v>
      </c>
      <c r="C577" t="s">
        <v>18</v>
      </c>
      <c r="D577" t="s">
        <v>181</v>
      </c>
      <c r="E577" t="s">
        <v>42</v>
      </c>
      <c r="F577" t="s">
        <v>42</v>
      </c>
      <c r="G577" t="s">
        <v>42</v>
      </c>
      <c r="H577" t="s">
        <v>42</v>
      </c>
      <c r="I577" t="s">
        <v>42</v>
      </c>
      <c r="J577" t="s">
        <v>42</v>
      </c>
      <c r="K577" t="s">
        <v>42</v>
      </c>
      <c r="L577" t="s">
        <v>42</v>
      </c>
    </row>
    <row r="578" spans="1:12" x14ac:dyDescent="0.55000000000000004">
      <c r="A578">
        <v>2018</v>
      </c>
      <c r="B578" t="s">
        <v>12</v>
      </c>
      <c r="C578" t="s">
        <v>18</v>
      </c>
      <c r="D578" t="s">
        <v>20</v>
      </c>
      <c r="E578">
        <v>77.5</v>
      </c>
      <c r="F578">
        <v>66.2</v>
      </c>
      <c r="G578">
        <v>3457</v>
      </c>
      <c r="H578">
        <v>3500</v>
      </c>
      <c r="I578">
        <v>3660</v>
      </c>
      <c r="J578">
        <v>3500</v>
      </c>
      <c r="K578">
        <v>3200</v>
      </c>
      <c r="L578">
        <v>4000</v>
      </c>
    </row>
    <row r="579" spans="1:12" x14ac:dyDescent="0.55000000000000004">
      <c r="A579">
        <v>2018</v>
      </c>
      <c r="B579" t="s">
        <v>12</v>
      </c>
      <c r="C579" t="s">
        <v>18</v>
      </c>
      <c r="D579" t="s">
        <v>182</v>
      </c>
      <c r="E579" t="s">
        <v>42</v>
      </c>
      <c r="F579" t="s">
        <v>42</v>
      </c>
      <c r="G579" t="s">
        <v>42</v>
      </c>
      <c r="H579" t="s">
        <v>42</v>
      </c>
      <c r="I579" t="s">
        <v>42</v>
      </c>
      <c r="J579" t="s">
        <v>42</v>
      </c>
      <c r="K579" t="s">
        <v>42</v>
      </c>
      <c r="L579" t="s">
        <v>42</v>
      </c>
    </row>
    <row r="580" spans="1:12" x14ac:dyDescent="0.55000000000000004">
      <c r="A580">
        <v>2018</v>
      </c>
      <c r="B580" t="s">
        <v>12</v>
      </c>
      <c r="C580" t="s">
        <v>18</v>
      </c>
      <c r="D580" t="s">
        <v>304</v>
      </c>
      <c r="E580">
        <v>91.6</v>
      </c>
      <c r="F580">
        <v>86</v>
      </c>
      <c r="G580">
        <v>3461</v>
      </c>
      <c r="H580">
        <v>3500</v>
      </c>
      <c r="I580">
        <v>3782</v>
      </c>
      <c r="J580">
        <v>3600</v>
      </c>
      <c r="K580">
        <v>3300</v>
      </c>
      <c r="L580">
        <v>4200</v>
      </c>
    </row>
    <row r="581" spans="1:12" x14ac:dyDescent="0.55000000000000004">
      <c r="A581">
        <v>2018</v>
      </c>
      <c r="B581" t="s">
        <v>12</v>
      </c>
      <c r="C581" t="s">
        <v>18</v>
      </c>
      <c r="D581" t="s">
        <v>305</v>
      </c>
      <c r="E581" t="s">
        <v>42</v>
      </c>
      <c r="F581" t="s">
        <v>42</v>
      </c>
      <c r="G581" t="s">
        <v>42</v>
      </c>
      <c r="H581" t="s">
        <v>42</v>
      </c>
      <c r="I581" t="s">
        <v>42</v>
      </c>
      <c r="J581" t="s">
        <v>42</v>
      </c>
      <c r="K581" t="s">
        <v>42</v>
      </c>
      <c r="L581" t="s">
        <v>42</v>
      </c>
    </row>
    <row r="582" spans="1:12" x14ac:dyDescent="0.55000000000000004">
      <c r="A582">
        <v>2018</v>
      </c>
      <c r="B582" t="s">
        <v>12</v>
      </c>
      <c r="C582" t="s">
        <v>18</v>
      </c>
      <c r="D582" t="s">
        <v>23</v>
      </c>
      <c r="E582">
        <v>96.5</v>
      </c>
      <c r="F582">
        <v>96.5</v>
      </c>
      <c r="G582">
        <v>3521</v>
      </c>
      <c r="H582">
        <v>3400</v>
      </c>
      <c r="I582">
        <v>3597</v>
      </c>
      <c r="J582">
        <v>3500</v>
      </c>
      <c r="K582">
        <v>3200</v>
      </c>
      <c r="L582">
        <v>3816</v>
      </c>
    </row>
    <row r="583" spans="1:12" x14ac:dyDescent="0.55000000000000004">
      <c r="A583">
        <v>2018</v>
      </c>
      <c r="B583" t="s">
        <v>12</v>
      </c>
      <c r="C583" t="s">
        <v>18</v>
      </c>
      <c r="D583" t="s">
        <v>22</v>
      </c>
      <c r="E583">
        <v>95.8</v>
      </c>
      <c r="F583">
        <v>95.8</v>
      </c>
      <c r="G583">
        <v>3749</v>
      </c>
      <c r="H583">
        <v>3700</v>
      </c>
      <c r="I583">
        <v>3865</v>
      </c>
      <c r="J583">
        <v>3775</v>
      </c>
      <c r="K583">
        <v>3400</v>
      </c>
      <c r="L583">
        <v>4200</v>
      </c>
    </row>
    <row r="584" spans="1:12" x14ac:dyDescent="0.55000000000000004">
      <c r="A584">
        <v>2018</v>
      </c>
      <c r="B584" t="s">
        <v>12</v>
      </c>
      <c r="C584" t="s">
        <v>18</v>
      </c>
      <c r="D584" t="s">
        <v>306</v>
      </c>
      <c r="E584" t="s">
        <v>42</v>
      </c>
      <c r="F584" t="s">
        <v>42</v>
      </c>
      <c r="G584" t="s">
        <v>42</v>
      </c>
      <c r="H584" t="s">
        <v>42</v>
      </c>
      <c r="I584" t="s">
        <v>42</v>
      </c>
      <c r="J584" t="s">
        <v>42</v>
      </c>
      <c r="K584" t="s">
        <v>42</v>
      </c>
      <c r="L584" t="s">
        <v>42</v>
      </c>
    </row>
    <row r="585" spans="1:12" x14ac:dyDescent="0.55000000000000004">
      <c r="A585">
        <v>2018</v>
      </c>
      <c r="B585" t="s">
        <v>12</v>
      </c>
      <c r="C585" t="s">
        <v>18</v>
      </c>
      <c r="D585" t="s">
        <v>24</v>
      </c>
      <c r="E585">
        <v>94.4</v>
      </c>
      <c r="F585">
        <v>93</v>
      </c>
      <c r="G585">
        <v>3970</v>
      </c>
      <c r="H585">
        <v>3800</v>
      </c>
      <c r="I585">
        <v>4062</v>
      </c>
      <c r="J585">
        <v>4000</v>
      </c>
      <c r="K585">
        <v>3500</v>
      </c>
      <c r="L585">
        <v>4500</v>
      </c>
    </row>
    <row r="586" spans="1:12" x14ac:dyDescent="0.55000000000000004">
      <c r="A586">
        <v>2018</v>
      </c>
      <c r="B586" t="s">
        <v>12</v>
      </c>
      <c r="C586" t="s">
        <v>18</v>
      </c>
      <c r="D586" t="s">
        <v>307</v>
      </c>
      <c r="E586">
        <v>92.7</v>
      </c>
      <c r="F586">
        <v>91</v>
      </c>
      <c r="G586">
        <v>3625</v>
      </c>
      <c r="H586">
        <v>3500</v>
      </c>
      <c r="I586">
        <v>3772</v>
      </c>
      <c r="J586">
        <v>3600</v>
      </c>
      <c r="K586">
        <v>3323</v>
      </c>
      <c r="L586">
        <v>4000</v>
      </c>
    </row>
    <row r="587" spans="1:12" x14ac:dyDescent="0.55000000000000004">
      <c r="A587">
        <v>2018</v>
      </c>
      <c r="B587" t="s">
        <v>12</v>
      </c>
      <c r="C587" t="s">
        <v>18</v>
      </c>
      <c r="D587" t="s">
        <v>26</v>
      </c>
      <c r="E587">
        <v>92.1</v>
      </c>
      <c r="F587">
        <v>81.599999999999994</v>
      </c>
      <c r="G587">
        <v>3388</v>
      </c>
      <c r="H587">
        <v>3360</v>
      </c>
      <c r="I587">
        <v>3485</v>
      </c>
      <c r="J587">
        <v>3400</v>
      </c>
      <c r="K587">
        <v>3000</v>
      </c>
      <c r="L587">
        <v>3500</v>
      </c>
    </row>
    <row r="588" spans="1:12" x14ac:dyDescent="0.55000000000000004">
      <c r="A588">
        <v>2018</v>
      </c>
      <c r="B588" t="s">
        <v>12</v>
      </c>
      <c r="C588" t="s">
        <v>18</v>
      </c>
      <c r="D588" t="s">
        <v>186</v>
      </c>
      <c r="E588" t="s">
        <v>42</v>
      </c>
      <c r="F588" t="s">
        <v>42</v>
      </c>
      <c r="G588" t="s">
        <v>42</v>
      </c>
      <c r="H588" t="s">
        <v>42</v>
      </c>
      <c r="I588" t="s">
        <v>42</v>
      </c>
      <c r="J588" t="s">
        <v>42</v>
      </c>
      <c r="K588" t="s">
        <v>42</v>
      </c>
      <c r="L588" t="s">
        <v>42</v>
      </c>
    </row>
    <row r="589" spans="1:12" x14ac:dyDescent="0.55000000000000004">
      <c r="A589">
        <v>2018</v>
      </c>
      <c r="B589" t="s">
        <v>12</v>
      </c>
      <c r="C589" t="s">
        <v>18</v>
      </c>
      <c r="D589" t="s">
        <v>308</v>
      </c>
      <c r="E589">
        <v>93.2</v>
      </c>
      <c r="F589">
        <v>89</v>
      </c>
      <c r="G589">
        <v>3724</v>
      </c>
      <c r="H589">
        <v>3725</v>
      </c>
      <c r="I589">
        <v>3800</v>
      </c>
      <c r="J589">
        <v>3750</v>
      </c>
      <c r="K589">
        <v>3500</v>
      </c>
      <c r="L589">
        <v>4140</v>
      </c>
    </row>
    <row r="590" spans="1:12" x14ac:dyDescent="0.55000000000000004">
      <c r="A590">
        <v>2018</v>
      </c>
      <c r="B590" t="s">
        <v>12</v>
      </c>
      <c r="C590" t="s">
        <v>18</v>
      </c>
      <c r="D590" t="s">
        <v>30</v>
      </c>
      <c r="E590">
        <v>93.3</v>
      </c>
      <c r="F590">
        <v>90</v>
      </c>
      <c r="G590">
        <v>3351</v>
      </c>
      <c r="H590">
        <v>3300</v>
      </c>
      <c r="I590">
        <v>3409</v>
      </c>
      <c r="J590">
        <v>3350</v>
      </c>
      <c r="K590">
        <v>3000</v>
      </c>
      <c r="L590">
        <v>3640</v>
      </c>
    </row>
    <row r="591" spans="1:12" x14ac:dyDescent="0.55000000000000004">
      <c r="A591">
        <v>2018</v>
      </c>
      <c r="B591" t="s">
        <v>12</v>
      </c>
      <c r="C591" t="s">
        <v>18</v>
      </c>
      <c r="D591" t="s">
        <v>28</v>
      </c>
      <c r="E591">
        <v>86.5</v>
      </c>
      <c r="F591">
        <v>81.900000000000006</v>
      </c>
      <c r="G591">
        <v>3457</v>
      </c>
      <c r="H591">
        <v>3400</v>
      </c>
      <c r="I591">
        <v>3650</v>
      </c>
      <c r="J591">
        <v>3500</v>
      </c>
      <c r="K591">
        <v>3200</v>
      </c>
      <c r="L591">
        <v>4000</v>
      </c>
    </row>
    <row r="592" spans="1:12" x14ac:dyDescent="0.55000000000000004">
      <c r="A592">
        <v>2018</v>
      </c>
      <c r="B592" t="s">
        <v>12</v>
      </c>
      <c r="C592" t="s">
        <v>18</v>
      </c>
      <c r="D592" t="s">
        <v>29</v>
      </c>
      <c r="E592">
        <v>85.6</v>
      </c>
      <c r="F592">
        <v>81.099999999999994</v>
      </c>
      <c r="G592">
        <v>3448</v>
      </c>
      <c r="H592">
        <v>3500</v>
      </c>
      <c r="I592">
        <v>3653</v>
      </c>
      <c r="J592">
        <v>3500</v>
      </c>
      <c r="K592">
        <v>3200</v>
      </c>
      <c r="L592">
        <v>4000</v>
      </c>
    </row>
    <row r="593" spans="1:12" x14ac:dyDescent="0.55000000000000004">
      <c r="A593">
        <v>2018</v>
      </c>
      <c r="B593" t="s">
        <v>12</v>
      </c>
      <c r="C593" t="s">
        <v>31</v>
      </c>
      <c r="D593" t="s">
        <v>32</v>
      </c>
      <c r="E593">
        <v>85.7</v>
      </c>
      <c r="F593">
        <v>53.8</v>
      </c>
      <c r="G593">
        <v>2930</v>
      </c>
      <c r="H593">
        <v>2800</v>
      </c>
      <c r="I593">
        <v>2986</v>
      </c>
      <c r="J593">
        <v>3000</v>
      </c>
      <c r="K593">
        <v>2600</v>
      </c>
      <c r="L593">
        <v>3300</v>
      </c>
    </row>
    <row r="594" spans="1:12" x14ac:dyDescent="0.55000000000000004">
      <c r="A594">
        <v>2018</v>
      </c>
      <c r="B594" t="s">
        <v>12</v>
      </c>
      <c r="C594" t="s">
        <v>31</v>
      </c>
      <c r="D594" t="s">
        <v>33</v>
      </c>
      <c r="E594">
        <v>86.4</v>
      </c>
      <c r="F594">
        <v>76.3</v>
      </c>
      <c r="G594">
        <v>3149</v>
      </c>
      <c r="H594">
        <v>3150</v>
      </c>
      <c r="I594">
        <v>3260</v>
      </c>
      <c r="J594">
        <v>3500</v>
      </c>
      <c r="K594">
        <v>3000</v>
      </c>
      <c r="L594">
        <v>3518</v>
      </c>
    </row>
    <row r="595" spans="1:12" x14ac:dyDescent="0.55000000000000004">
      <c r="A595">
        <v>2018</v>
      </c>
      <c r="B595" t="s">
        <v>12</v>
      </c>
      <c r="C595" t="s">
        <v>31</v>
      </c>
      <c r="D595" t="s">
        <v>34</v>
      </c>
      <c r="E595">
        <v>95</v>
      </c>
      <c r="F595">
        <v>84.2</v>
      </c>
      <c r="G595">
        <v>3085</v>
      </c>
      <c r="H595">
        <v>3000</v>
      </c>
      <c r="I595">
        <v>3166</v>
      </c>
      <c r="J595">
        <v>3000</v>
      </c>
      <c r="K595">
        <v>2750</v>
      </c>
      <c r="L595">
        <v>3500</v>
      </c>
    </row>
    <row r="596" spans="1:12" x14ac:dyDescent="0.55000000000000004">
      <c r="A596">
        <v>2018</v>
      </c>
      <c r="B596" t="s">
        <v>12</v>
      </c>
      <c r="C596" t="s">
        <v>31</v>
      </c>
      <c r="D596" t="s">
        <v>35</v>
      </c>
      <c r="E596">
        <v>90.1</v>
      </c>
      <c r="F596">
        <v>84</v>
      </c>
      <c r="G596">
        <v>3604</v>
      </c>
      <c r="H596">
        <v>3500</v>
      </c>
      <c r="I596">
        <v>3755</v>
      </c>
      <c r="J596">
        <v>3536</v>
      </c>
      <c r="K596">
        <v>3200</v>
      </c>
      <c r="L596">
        <v>3959</v>
      </c>
    </row>
    <row r="597" spans="1:12" x14ac:dyDescent="0.55000000000000004">
      <c r="A597">
        <v>2018</v>
      </c>
      <c r="B597" t="s">
        <v>12</v>
      </c>
      <c r="C597" t="s">
        <v>31</v>
      </c>
      <c r="D597" t="s">
        <v>36</v>
      </c>
      <c r="E597">
        <v>81.599999999999994</v>
      </c>
      <c r="F597">
        <v>59.2</v>
      </c>
      <c r="G597">
        <v>3051</v>
      </c>
      <c r="H597">
        <v>3000</v>
      </c>
      <c r="I597">
        <v>3124</v>
      </c>
      <c r="J597">
        <v>3000</v>
      </c>
      <c r="K597">
        <v>2600</v>
      </c>
      <c r="L597">
        <v>3500</v>
      </c>
    </row>
    <row r="598" spans="1:12" x14ac:dyDescent="0.55000000000000004">
      <c r="A598">
        <v>2018</v>
      </c>
      <c r="B598" t="s">
        <v>12</v>
      </c>
      <c r="C598" t="s">
        <v>31</v>
      </c>
      <c r="D598" t="s">
        <v>221</v>
      </c>
      <c r="E598">
        <v>74.400000000000006</v>
      </c>
      <c r="F598">
        <v>56.4</v>
      </c>
      <c r="G598">
        <v>3593</v>
      </c>
      <c r="H598">
        <v>3500</v>
      </c>
      <c r="I598">
        <v>3719</v>
      </c>
      <c r="J598">
        <v>3500</v>
      </c>
      <c r="K598">
        <v>3260</v>
      </c>
      <c r="L598">
        <v>4150</v>
      </c>
    </row>
    <row r="599" spans="1:12" x14ac:dyDescent="0.55000000000000004">
      <c r="A599">
        <v>2018</v>
      </c>
      <c r="B599" t="s">
        <v>12</v>
      </c>
      <c r="C599" t="s">
        <v>31</v>
      </c>
      <c r="D599" t="s">
        <v>309</v>
      </c>
      <c r="E599">
        <v>79.2</v>
      </c>
      <c r="F599">
        <v>45.8</v>
      </c>
      <c r="G599">
        <v>3074</v>
      </c>
      <c r="H599">
        <v>3200</v>
      </c>
      <c r="I599">
        <v>3091</v>
      </c>
      <c r="J599">
        <v>3200</v>
      </c>
      <c r="K599">
        <v>2900</v>
      </c>
      <c r="L599">
        <v>3500</v>
      </c>
    </row>
    <row r="600" spans="1:12" x14ac:dyDescent="0.55000000000000004">
      <c r="A600">
        <v>2018</v>
      </c>
      <c r="B600" t="s">
        <v>12</v>
      </c>
      <c r="C600" t="s">
        <v>31</v>
      </c>
      <c r="D600" t="s">
        <v>310</v>
      </c>
      <c r="E600">
        <v>80</v>
      </c>
      <c r="F600">
        <v>76</v>
      </c>
      <c r="G600">
        <v>3031</v>
      </c>
      <c r="H600">
        <v>3000</v>
      </c>
      <c r="I600">
        <v>3126</v>
      </c>
      <c r="J600">
        <v>3000</v>
      </c>
      <c r="K600">
        <v>2550</v>
      </c>
      <c r="L600">
        <v>3500</v>
      </c>
    </row>
    <row r="601" spans="1:12" x14ac:dyDescent="0.55000000000000004">
      <c r="A601">
        <v>2018</v>
      </c>
      <c r="B601" t="s">
        <v>12</v>
      </c>
      <c r="C601" t="s">
        <v>31</v>
      </c>
      <c r="D601" t="s">
        <v>38</v>
      </c>
      <c r="E601">
        <v>90.1</v>
      </c>
      <c r="F601">
        <v>78</v>
      </c>
      <c r="G601">
        <v>3316</v>
      </c>
      <c r="H601">
        <v>3300</v>
      </c>
      <c r="I601">
        <v>3355</v>
      </c>
      <c r="J601">
        <v>3370</v>
      </c>
      <c r="K601">
        <v>3000</v>
      </c>
      <c r="L601">
        <v>3684</v>
      </c>
    </row>
    <row r="602" spans="1:12" x14ac:dyDescent="0.55000000000000004">
      <c r="A602">
        <v>2018</v>
      </c>
      <c r="B602" t="s">
        <v>12</v>
      </c>
      <c r="C602" t="s">
        <v>31</v>
      </c>
      <c r="D602" t="s">
        <v>311</v>
      </c>
      <c r="E602">
        <v>80.599999999999994</v>
      </c>
      <c r="F602">
        <v>71</v>
      </c>
      <c r="G602">
        <v>3501</v>
      </c>
      <c r="H602">
        <v>3350</v>
      </c>
      <c r="I602">
        <v>3619</v>
      </c>
      <c r="J602">
        <v>3350</v>
      </c>
      <c r="K602">
        <v>3050</v>
      </c>
      <c r="L602">
        <v>4018</v>
      </c>
    </row>
    <row r="603" spans="1:12" x14ac:dyDescent="0.55000000000000004">
      <c r="A603">
        <v>2018</v>
      </c>
      <c r="B603" t="s">
        <v>12</v>
      </c>
      <c r="C603" t="s">
        <v>31</v>
      </c>
      <c r="D603" t="s">
        <v>39</v>
      </c>
      <c r="E603">
        <v>80.2</v>
      </c>
      <c r="F603">
        <v>60.4</v>
      </c>
      <c r="G603">
        <v>3275</v>
      </c>
      <c r="H603">
        <v>3175</v>
      </c>
      <c r="I603">
        <v>3374</v>
      </c>
      <c r="J603">
        <v>3220</v>
      </c>
      <c r="K603">
        <v>3000</v>
      </c>
      <c r="L603">
        <v>3841</v>
      </c>
    </row>
    <row r="604" spans="1:12" x14ac:dyDescent="0.55000000000000004">
      <c r="A604">
        <v>2018</v>
      </c>
      <c r="B604" t="s">
        <v>12</v>
      </c>
      <c r="C604" t="s">
        <v>40</v>
      </c>
      <c r="D604" t="s">
        <v>44</v>
      </c>
      <c r="E604">
        <v>80.099999999999994</v>
      </c>
      <c r="F604">
        <v>67</v>
      </c>
      <c r="G604">
        <v>3232</v>
      </c>
      <c r="H604">
        <v>3200</v>
      </c>
      <c r="I604">
        <v>3319</v>
      </c>
      <c r="J604">
        <v>3250</v>
      </c>
      <c r="K604">
        <v>3035</v>
      </c>
      <c r="L604">
        <v>3650</v>
      </c>
    </row>
    <row r="605" spans="1:12" x14ac:dyDescent="0.55000000000000004">
      <c r="A605">
        <v>2018</v>
      </c>
      <c r="B605" t="s">
        <v>12</v>
      </c>
      <c r="C605" t="s">
        <v>40</v>
      </c>
      <c r="D605" t="s">
        <v>41</v>
      </c>
      <c r="E605" t="s">
        <v>42</v>
      </c>
      <c r="F605" t="s">
        <v>42</v>
      </c>
      <c r="G605" t="s">
        <v>42</v>
      </c>
      <c r="H605" t="s">
        <v>42</v>
      </c>
      <c r="I605" t="s">
        <v>42</v>
      </c>
      <c r="J605" t="s">
        <v>42</v>
      </c>
      <c r="K605" t="s">
        <v>42</v>
      </c>
      <c r="L605" t="s">
        <v>42</v>
      </c>
    </row>
    <row r="606" spans="1:12" x14ac:dyDescent="0.55000000000000004">
      <c r="A606">
        <v>2018</v>
      </c>
      <c r="B606" t="s">
        <v>12</v>
      </c>
      <c r="C606" t="s">
        <v>40</v>
      </c>
      <c r="D606" t="s">
        <v>312</v>
      </c>
      <c r="E606">
        <v>90.9</v>
      </c>
      <c r="F606">
        <v>81.8</v>
      </c>
      <c r="G606">
        <v>2941</v>
      </c>
      <c r="H606">
        <v>3000</v>
      </c>
      <c r="I606">
        <v>2953</v>
      </c>
      <c r="J606">
        <v>3000</v>
      </c>
      <c r="K606">
        <v>2700</v>
      </c>
      <c r="L606">
        <v>3100</v>
      </c>
    </row>
    <row r="607" spans="1:12" x14ac:dyDescent="0.55000000000000004">
      <c r="A607">
        <v>2018</v>
      </c>
      <c r="B607" t="s">
        <v>12</v>
      </c>
      <c r="C607" t="s">
        <v>40</v>
      </c>
      <c r="D607" t="s">
        <v>45</v>
      </c>
      <c r="E607">
        <v>77.599999999999994</v>
      </c>
      <c r="F607">
        <v>63.9</v>
      </c>
      <c r="G607">
        <v>3205</v>
      </c>
      <c r="H607">
        <v>3167</v>
      </c>
      <c r="I607">
        <v>3427</v>
      </c>
      <c r="J607">
        <v>3200</v>
      </c>
      <c r="K607">
        <v>3000</v>
      </c>
      <c r="L607">
        <v>3725</v>
      </c>
    </row>
    <row r="608" spans="1:12" x14ac:dyDescent="0.55000000000000004">
      <c r="A608">
        <v>2018</v>
      </c>
      <c r="B608" t="s">
        <v>12</v>
      </c>
      <c r="C608" t="s">
        <v>40</v>
      </c>
      <c r="D608" t="s">
        <v>313</v>
      </c>
      <c r="E608">
        <v>76.2</v>
      </c>
      <c r="F608">
        <v>57.1</v>
      </c>
      <c r="G608">
        <v>3347</v>
      </c>
      <c r="H608">
        <v>3440</v>
      </c>
      <c r="I608">
        <v>3389</v>
      </c>
      <c r="J608">
        <v>3440</v>
      </c>
      <c r="K608">
        <v>3150</v>
      </c>
      <c r="L608">
        <v>3900</v>
      </c>
    </row>
    <row r="609" spans="1:12" x14ac:dyDescent="0.55000000000000004">
      <c r="A609">
        <v>2018</v>
      </c>
      <c r="B609" t="s">
        <v>12</v>
      </c>
      <c r="C609" t="s">
        <v>40</v>
      </c>
      <c r="D609" t="s">
        <v>224</v>
      </c>
      <c r="E609">
        <v>87.1</v>
      </c>
      <c r="F609">
        <v>75.900000000000006</v>
      </c>
      <c r="G609">
        <v>3661</v>
      </c>
      <c r="H609">
        <v>3600</v>
      </c>
      <c r="I609">
        <v>3744</v>
      </c>
      <c r="J609">
        <v>3650</v>
      </c>
      <c r="K609">
        <v>3360</v>
      </c>
      <c r="L609">
        <v>4000</v>
      </c>
    </row>
    <row r="610" spans="1:12" x14ac:dyDescent="0.55000000000000004">
      <c r="A610">
        <v>2018</v>
      </c>
      <c r="B610" t="s">
        <v>12</v>
      </c>
      <c r="C610" t="s">
        <v>40</v>
      </c>
      <c r="D610" t="s">
        <v>124</v>
      </c>
      <c r="E610">
        <v>96.3</v>
      </c>
      <c r="F610">
        <v>83.3</v>
      </c>
      <c r="G610">
        <v>3481</v>
      </c>
      <c r="H610">
        <v>3500</v>
      </c>
      <c r="I610">
        <v>3569</v>
      </c>
      <c r="J610">
        <v>3600</v>
      </c>
      <c r="K610">
        <v>3200</v>
      </c>
      <c r="L610">
        <v>4000</v>
      </c>
    </row>
    <row r="611" spans="1:12" x14ac:dyDescent="0.55000000000000004">
      <c r="A611">
        <v>2018</v>
      </c>
      <c r="B611" t="s">
        <v>12</v>
      </c>
      <c r="C611" t="s">
        <v>40</v>
      </c>
      <c r="D611" t="s">
        <v>314</v>
      </c>
      <c r="E611">
        <v>80.2</v>
      </c>
      <c r="F611">
        <v>74.099999999999994</v>
      </c>
      <c r="G611">
        <v>3468</v>
      </c>
      <c r="H611">
        <v>3300</v>
      </c>
      <c r="I611">
        <v>3576</v>
      </c>
      <c r="J611">
        <v>3400</v>
      </c>
      <c r="K611">
        <v>3025</v>
      </c>
      <c r="L611">
        <v>3800</v>
      </c>
    </row>
    <row r="612" spans="1:12" x14ac:dyDescent="0.55000000000000004">
      <c r="A612">
        <v>2018</v>
      </c>
      <c r="B612" t="s">
        <v>12</v>
      </c>
      <c r="C612" t="s">
        <v>50</v>
      </c>
      <c r="D612" t="s">
        <v>315</v>
      </c>
      <c r="E612">
        <v>100</v>
      </c>
      <c r="F612">
        <v>99.2</v>
      </c>
      <c r="G612">
        <v>3618</v>
      </c>
      <c r="H612">
        <v>3750</v>
      </c>
      <c r="I612">
        <v>3751</v>
      </c>
      <c r="J612">
        <v>3800</v>
      </c>
      <c r="K612">
        <v>3600</v>
      </c>
      <c r="L612">
        <v>3806</v>
      </c>
    </row>
    <row r="613" spans="1:12" x14ac:dyDescent="0.55000000000000004">
      <c r="A613">
        <v>2018</v>
      </c>
      <c r="B613" t="s">
        <v>12</v>
      </c>
      <c r="C613" t="s">
        <v>50</v>
      </c>
      <c r="D613" t="s">
        <v>316</v>
      </c>
      <c r="E613">
        <v>100</v>
      </c>
      <c r="F613">
        <v>100</v>
      </c>
      <c r="G613">
        <v>3600</v>
      </c>
      <c r="H613">
        <v>3800</v>
      </c>
      <c r="I613">
        <v>3738</v>
      </c>
      <c r="J613">
        <v>3800</v>
      </c>
      <c r="K613">
        <v>3600</v>
      </c>
      <c r="L613">
        <v>4000</v>
      </c>
    </row>
    <row r="614" spans="1:12" x14ac:dyDescent="0.55000000000000004">
      <c r="A614">
        <v>2018</v>
      </c>
      <c r="B614" t="s">
        <v>12</v>
      </c>
      <c r="C614" t="s">
        <v>279</v>
      </c>
      <c r="D614" t="s">
        <v>279</v>
      </c>
      <c r="E614">
        <v>87</v>
      </c>
      <c r="F614">
        <v>61.1</v>
      </c>
      <c r="G614">
        <v>3172</v>
      </c>
      <c r="H614">
        <v>3200</v>
      </c>
      <c r="I614">
        <v>3382</v>
      </c>
      <c r="J614">
        <v>3300</v>
      </c>
      <c r="K614">
        <v>3000</v>
      </c>
      <c r="L614">
        <v>3600</v>
      </c>
    </row>
    <row r="615" spans="1:12" x14ac:dyDescent="0.55000000000000004">
      <c r="A615">
        <v>2018</v>
      </c>
      <c r="B615" t="s">
        <v>12</v>
      </c>
      <c r="C615" t="s">
        <v>317</v>
      </c>
      <c r="D615" t="s">
        <v>318</v>
      </c>
      <c r="E615" t="s">
        <v>42</v>
      </c>
      <c r="F615" t="s">
        <v>42</v>
      </c>
      <c r="G615" t="s">
        <v>42</v>
      </c>
      <c r="H615" t="s">
        <v>42</v>
      </c>
      <c r="I615" t="s">
        <v>42</v>
      </c>
      <c r="J615" t="s">
        <v>42</v>
      </c>
      <c r="K615" t="s">
        <v>42</v>
      </c>
      <c r="L615" t="s">
        <v>42</v>
      </c>
    </row>
    <row r="616" spans="1:12" x14ac:dyDescent="0.55000000000000004">
      <c r="A616">
        <v>2018</v>
      </c>
      <c r="B616" t="s">
        <v>53</v>
      </c>
      <c r="C616" t="s">
        <v>54</v>
      </c>
      <c r="D616" t="s">
        <v>55</v>
      </c>
      <c r="E616">
        <v>83.7</v>
      </c>
      <c r="F616">
        <v>56.6</v>
      </c>
      <c r="G616">
        <v>3169</v>
      </c>
      <c r="H616">
        <v>3070</v>
      </c>
      <c r="I616">
        <v>3322</v>
      </c>
      <c r="J616">
        <v>3200</v>
      </c>
      <c r="K616">
        <v>2800</v>
      </c>
      <c r="L616">
        <v>3600</v>
      </c>
    </row>
    <row r="617" spans="1:12" x14ac:dyDescent="0.55000000000000004">
      <c r="A617">
        <v>2018</v>
      </c>
      <c r="B617" t="s">
        <v>53</v>
      </c>
      <c r="C617" t="s">
        <v>54</v>
      </c>
      <c r="D617" t="s">
        <v>56</v>
      </c>
      <c r="E617">
        <v>87.5</v>
      </c>
      <c r="F617">
        <v>60.8</v>
      </c>
      <c r="G617">
        <v>3290</v>
      </c>
      <c r="H617">
        <v>3300</v>
      </c>
      <c r="I617">
        <v>3377</v>
      </c>
      <c r="J617">
        <v>3300</v>
      </c>
      <c r="K617">
        <v>3000</v>
      </c>
      <c r="L617">
        <v>3600</v>
      </c>
    </row>
    <row r="618" spans="1:12" x14ac:dyDescent="0.55000000000000004">
      <c r="A618">
        <v>2018</v>
      </c>
      <c r="B618" t="s">
        <v>53</v>
      </c>
      <c r="C618" t="s">
        <v>54</v>
      </c>
      <c r="D618" t="s">
        <v>57</v>
      </c>
      <c r="E618">
        <v>88.2</v>
      </c>
      <c r="F618">
        <v>74.5</v>
      </c>
      <c r="G618">
        <v>3459</v>
      </c>
      <c r="H618">
        <v>3400</v>
      </c>
      <c r="I618">
        <v>3526</v>
      </c>
      <c r="J618">
        <v>3400</v>
      </c>
      <c r="K618">
        <v>3200</v>
      </c>
      <c r="L618">
        <v>3800</v>
      </c>
    </row>
    <row r="619" spans="1:12" x14ac:dyDescent="0.55000000000000004">
      <c r="A619">
        <v>2018</v>
      </c>
      <c r="B619" t="s">
        <v>53</v>
      </c>
      <c r="C619" t="s">
        <v>70</v>
      </c>
      <c r="D619" t="s">
        <v>71</v>
      </c>
      <c r="E619">
        <v>100</v>
      </c>
      <c r="F619">
        <v>100</v>
      </c>
      <c r="G619">
        <v>4148</v>
      </c>
      <c r="H619">
        <v>4050</v>
      </c>
      <c r="I619">
        <v>4228</v>
      </c>
      <c r="J619">
        <v>4050</v>
      </c>
      <c r="K619">
        <v>4000</v>
      </c>
      <c r="L619">
        <v>4450</v>
      </c>
    </row>
    <row r="620" spans="1:12" x14ac:dyDescent="0.55000000000000004">
      <c r="A620">
        <v>2018</v>
      </c>
      <c r="B620" t="s">
        <v>53</v>
      </c>
      <c r="C620" t="s">
        <v>77</v>
      </c>
      <c r="D620" t="s">
        <v>191</v>
      </c>
      <c r="E620">
        <v>79.400000000000006</v>
      </c>
      <c r="F620">
        <v>69.8</v>
      </c>
      <c r="G620">
        <v>3357</v>
      </c>
      <c r="H620">
        <v>3300</v>
      </c>
      <c r="I620">
        <v>3444</v>
      </c>
      <c r="J620">
        <v>3389</v>
      </c>
      <c r="K620">
        <v>3280</v>
      </c>
      <c r="L620">
        <v>3650</v>
      </c>
    </row>
    <row r="621" spans="1:12" x14ac:dyDescent="0.55000000000000004">
      <c r="A621">
        <v>2018</v>
      </c>
      <c r="B621" t="s">
        <v>53</v>
      </c>
      <c r="C621" t="s">
        <v>77</v>
      </c>
      <c r="D621" t="s">
        <v>79</v>
      </c>
      <c r="E621">
        <v>89.9</v>
      </c>
      <c r="F621">
        <v>84.1</v>
      </c>
      <c r="G621">
        <v>3768</v>
      </c>
      <c r="H621">
        <v>3700</v>
      </c>
      <c r="I621">
        <v>4050</v>
      </c>
      <c r="J621">
        <v>4000</v>
      </c>
      <c r="K621">
        <v>3500</v>
      </c>
      <c r="L621">
        <v>4300</v>
      </c>
    </row>
    <row r="622" spans="1:12" x14ac:dyDescent="0.55000000000000004">
      <c r="A622">
        <v>2018</v>
      </c>
      <c r="B622" t="s">
        <v>53</v>
      </c>
      <c r="C622" t="s">
        <v>77</v>
      </c>
      <c r="D622" t="s">
        <v>80</v>
      </c>
      <c r="E622">
        <v>91.8</v>
      </c>
      <c r="F622">
        <v>89.8</v>
      </c>
      <c r="G622">
        <v>3520</v>
      </c>
      <c r="H622">
        <v>3500</v>
      </c>
      <c r="I622">
        <v>3627</v>
      </c>
      <c r="J622">
        <v>3500</v>
      </c>
      <c r="K622">
        <v>3300</v>
      </c>
      <c r="L622">
        <v>3900</v>
      </c>
    </row>
    <row r="623" spans="1:12" x14ac:dyDescent="0.55000000000000004">
      <c r="A623">
        <v>2018</v>
      </c>
      <c r="B623" t="s">
        <v>53</v>
      </c>
      <c r="C623" t="s">
        <v>77</v>
      </c>
      <c r="D623" t="s">
        <v>82</v>
      </c>
      <c r="E623">
        <v>91</v>
      </c>
      <c r="F623">
        <v>83.4</v>
      </c>
      <c r="G623">
        <v>3712</v>
      </c>
      <c r="H623">
        <v>3600</v>
      </c>
      <c r="I623">
        <v>3982</v>
      </c>
      <c r="J623">
        <v>3700</v>
      </c>
      <c r="K623">
        <v>3400</v>
      </c>
      <c r="L623">
        <v>4546</v>
      </c>
    </row>
    <row r="624" spans="1:12" x14ac:dyDescent="0.55000000000000004">
      <c r="A624">
        <v>2018</v>
      </c>
      <c r="B624" t="s">
        <v>53</v>
      </c>
      <c r="C624" t="s">
        <v>77</v>
      </c>
      <c r="D624" t="s">
        <v>319</v>
      </c>
      <c r="E624" t="s">
        <v>42</v>
      </c>
      <c r="F624" t="s">
        <v>42</v>
      </c>
      <c r="G624" t="s">
        <v>42</v>
      </c>
      <c r="H624" t="s">
        <v>42</v>
      </c>
      <c r="I624" t="s">
        <v>42</v>
      </c>
      <c r="J624" t="s">
        <v>42</v>
      </c>
      <c r="K624" t="s">
        <v>42</v>
      </c>
      <c r="L624" t="s">
        <v>42</v>
      </c>
    </row>
    <row r="625" spans="1:12" x14ac:dyDescent="0.55000000000000004">
      <c r="A625">
        <v>2018</v>
      </c>
      <c r="B625" t="s">
        <v>53</v>
      </c>
      <c r="C625" t="s">
        <v>77</v>
      </c>
      <c r="D625" t="s">
        <v>84</v>
      </c>
      <c r="E625">
        <v>88.9</v>
      </c>
      <c r="F625">
        <v>74.599999999999994</v>
      </c>
      <c r="G625">
        <v>3411</v>
      </c>
      <c r="H625">
        <v>3300</v>
      </c>
      <c r="I625">
        <v>3518</v>
      </c>
      <c r="J625">
        <v>3400</v>
      </c>
      <c r="K625">
        <v>3000</v>
      </c>
      <c r="L625">
        <v>3868</v>
      </c>
    </row>
    <row r="626" spans="1:12" x14ac:dyDescent="0.55000000000000004">
      <c r="A626">
        <v>2018</v>
      </c>
      <c r="B626" t="s">
        <v>53</v>
      </c>
      <c r="C626" t="s">
        <v>77</v>
      </c>
      <c r="D626" t="s">
        <v>85</v>
      </c>
      <c r="E626">
        <v>91.5</v>
      </c>
      <c r="F626">
        <v>87.8</v>
      </c>
      <c r="G626">
        <v>3889</v>
      </c>
      <c r="H626">
        <v>3800</v>
      </c>
      <c r="I626">
        <v>4051</v>
      </c>
      <c r="J626">
        <v>3895</v>
      </c>
      <c r="K626">
        <v>3600</v>
      </c>
      <c r="L626">
        <v>4500</v>
      </c>
    </row>
    <row r="627" spans="1:12" x14ac:dyDescent="0.55000000000000004">
      <c r="A627">
        <v>2018</v>
      </c>
      <c r="B627" t="s">
        <v>53</v>
      </c>
      <c r="C627" t="s">
        <v>77</v>
      </c>
      <c r="D627" t="s">
        <v>86</v>
      </c>
      <c r="E627">
        <v>88.6</v>
      </c>
      <c r="F627">
        <v>86.4</v>
      </c>
      <c r="G627">
        <v>3550</v>
      </c>
      <c r="H627">
        <v>3600</v>
      </c>
      <c r="I627">
        <v>3794</v>
      </c>
      <c r="J627">
        <v>3600</v>
      </c>
      <c r="K627">
        <v>3500</v>
      </c>
      <c r="L627">
        <v>4305</v>
      </c>
    </row>
    <row r="628" spans="1:12" x14ac:dyDescent="0.55000000000000004">
      <c r="A628">
        <v>2018</v>
      </c>
      <c r="B628" t="s">
        <v>53</v>
      </c>
      <c r="C628" t="s">
        <v>77</v>
      </c>
      <c r="D628" t="s">
        <v>87</v>
      </c>
      <c r="E628">
        <v>92.8</v>
      </c>
      <c r="F628">
        <v>86.9</v>
      </c>
      <c r="G628">
        <v>3684</v>
      </c>
      <c r="H628">
        <v>3500</v>
      </c>
      <c r="I628">
        <v>3877</v>
      </c>
      <c r="J628">
        <v>3700</v>
      </c>
      <c r="K628">
        <v>3300</v>
      </c>
      <c r="L628">
        <v>4100</v>
      </c>
    </row>
    <row r="629" spans="1:12" x14ac:dyDescent="0.55000000000000004">
      <c r="A629">
        <v>2018</v>
      </c>
      <c r="B629" t="s">
        <v>53</v>
      </c>
      <c r="C629" t="s">
        <v>88</v>
      </c>
      <c r="D629" t="s">
        <v>283</v>
      </c>
      <c r="E629">
        <v>97.3</v>
      </c>
      <c r="F629">
        <v>92.6</v>
      </c>
      <c r="G629">
        <v>5070</v>
      </c>
      <c r="H629">
        <v>5000</v>
      </c>
      <c r="I629">
        <v>5263</v>
      </c>
      <c r="J629">
        <v>5500</v>
      </c>
      <c r="K629">
        <v>4500</v>
      </c>
      <c r="L629">
        <v>5840</v>
      </c>
    </row>
    <row r="630" spans="1:12" x14ac:dyDescent="0.55000000000000004">
      <c r="A630">
        <v>2018</v>
      </c>
      <c r="B630" t="s">
        <v>53</v>
      </c>
      <c r="C630" t="s">
        <v>96</v>
      </c>
      <c r="D630" t="s">
        <v>99</v>
      </c>
      <c r="E630">
        <v>81.599999999999994</v>
      </c>
      <c r="F630">
        <v>47.2</v>
      </c>
      <c r="G630">
        <v>3146</v>
      </c>
      <c r="H630">
        <v>3000</v>
      </c>
      <c r="I630">
        <v>3289</v>
      </c>
      <c r="J630">
        <v>3100</v>
      </c>
      <c r="K630">
        <v>2900</v>
      </c>
      <c r="L630">
        <v>3850</v>
      </c>
    </row>
    <row r="631" spans="1:12" x14ac:dyDescent="0.55000000000000004">
      <c r="A631">
        <v>2018</v>
      </c>
      <c r="B631" t="s">
        <v>53</v>
      </c>
      <c r="C631" t="s">
        <v>96</v>
      </c>
      <c r="D631" t="s">
        <v>100</v>
      </c>
      <c r="E631">
        <v>87.3</v>
      </c>
      <c r="F631">
        <v>72.8</v>
      </c>
      <c r="G631">
        <v>3371</v>
      </c>
      <c r="H631">
        <v>3300</v>
      </c>
      <c r="I631">
        <v>3460</v>
      </c>
      <c r="J631">
        <v>3400</v>
      </c>
      <c r="K631">
        <v>3000</v>
      </c>
      <c r="L631">
        <v>3725</v>
      </c>
    </row>
    <row r="632" spans="1:12" x14ac:dyDescent="0.55000000000000004">
      <c r="A632">
        <v>2018</v>
      </c>
      <c r="B632" t="s">
        <v>53</v>
      </c>
      <c r="C632" t="s">
        <v>96</v>
      </c>
      <c r="D632" t="s">
        <v>101</v>
      </c>
      <c r="E632" t="s">
        <v>42</v>
      </c>
      <c r="F632" t="s">
        <v>42</v>
      </c>
      <c r="G632" t="s">
        <v>42</v>
      </c>
      <c r="H632" t="s">
        <v>42</v>
      </c>
      <c r="I632" t="s">
        <v>42</v>
      </c>
      <c r="J632" t="s">
        <v>42</v>
      </c>
      <c r="K632" t="s">
        <v>42</v>
      </c>
      <c r="L632" t="s">
        <v>42</v>
      </c>
    </row>
    <row r="633" spans="1:12" x14ac:dyDescent="0.55000000000000004">
      <c r="A633">
        <v>2018</v>
      </c>
      <c r="B633" t="s">
        <v>53</v>
      </c>
      <c r="C633" t="s">
        <v>96</v>
      </c>
      <c r="D633" t="s">
        <v>284</v>
      </c>
      <c r="E633">
        <v>96.6</v>
      </c>
      <c r="F633">
        <v>93.2</v>
      </c>
      <c r="G633">
        <v>3549</v>
      </c>
      <c r="H633">
        <v>3500</v>
      </c>
      <c r="I633">
        <v>3723</v>
      </c>
      <c r="J633">
        <v>3650</v>
      </c>
      <c r="K633">
        <v>3500</v>
      </c>
      <c r="L633">
        <v>3900</v>
      </c>
    </row>
    <row r="634" spans="1:12" x14ac:dyDescent="0.55000000000000004">
      <c r="A634">
        <v>2018</v>
      </c>
      <c r="B634" t="s">
        <v>53</v>
      </c>
      <c r="C634" t="s">
        <v>58</v>
      </c>
      <c r="D634" t="s">
        <v>59</v>
      </c>
      <c r="E634">
        <v>95.7</v>
      </c>
      <c r="F634">
        <v>84.8</v>
      </c>
      <c r="G634">
        <v>3633</v>
      </c>
      <c r="H634">
        <v>3150</v>
      </c>
      <c r="I634">
        <v>3732</v>
      </c>
      <c r="J634">
        <v>3225</v>
      </c>
      <c r="K634">
        <v>3000</v>
      </c>
      <c r="L634">
        <v>3750</v>
      </c>
    </row>
    <row r="635" spans="1:12" x14ac:dyDescent="0.55000000000000004">
      <c r="A635">
        <v>2018</v>
      </c>
      <c r="B635" t="s">
        <v>53</v>
      </c>
      <c r="C635" t="s">
        <v>58</v>
      </c>
      <c r="D635" t="s">
        <v>60</v>
      </c>
      <c r="E635">
        <v>96.6</v>
      </c>
      <c r="F635">
        <v>90.9</v>
      </c>
      <c r="G635">
        <v>4286</v>
      </c>
      <c r="H635">
        <v>3800</v>
      </c>
      <c r="I635">
        <v>4424</v>
      </c>
      <c r="J635">
        <v>3895</v>
      </c>
      <c r="K635">
        <v>3300</v>
      </c>
      <c r="L635">
        <v>4748</v>
      </c>
    </row>
    <row r="636" spans="1:12" x14ac:dyDescent="0.55000000000000004">
      <c r="A636">
        <v>2018</v>
      </c>
      <c r="B636" t="s">
        <v>53</v>
      </c>
      <c r="C636" t="s">
        <v>58</v>
      </c>
      <c r="D636" t="s">
        <v>320</v>
      </c>
      <c r="E636">
        <v>95.2</v>
      </c>
      <c r="F636">
        <v>95.2</v>
      </c>
      <c r="G636">
        <v>3209</v>
      </c>
      <c r="H636">
        <v>3000</v>
      </c>
      <c r="I636">
        <v>3522</v>
      </c>
      <c r="J636">
        <v>3020</v>
      </c>
      <c r="K636">
        <v>2700</v>
      </c>
      <c r="L636">
        <v>3500</v>
      </c>
    </row>
    <row r="637" spans="1:12" x14ac:dyDescent="0.55000000000000004">
      <c r="A637">
        <v>2018</v>
      </c>
      <c r="B637" t="s">
        <v>53</v>
      </c>
      <c r="C637" t="s">
        <v>58</v>
      </c>
      <c r="D637" t="s">
        <v>62</v>
      </c>
      <c r="E637">
        <v>97.6</v>
      </c>
      <c r="F637">
        <v>95.3</v>
      </c>
      <c r="G637">
        <v>3643</v>
      </c>
      <c r="H637">
        <v>3100</v>
      </c>
      <c r="I637">
        <v>3683</v>
      </c>
      <c r="J637">
        <v>3200</v>
      </c>
      <c r="K637">
        <v>3000</v>
      </c>
      <c r="L637">
        <v>4000</v>
      </c>
    </row>
    <row r="638" spans="1:12" x14ac:dyDescent="0.55000000000000004">
      <c r="A638">
        <v>2018</v>
      </c>
      <c r="B638" t="s">
        <v>53</v>
      </c>
      <c r="C638" t="s">
        <v>63</v>
      </c>
      <c r="D638" t="s">
        <v>321</v>
      </c>
      <c r="E638" t="s">
        <v>42</v>
      </c>
      <c r="F638" t="s">
        <v>42</v>
      </c>
      <c r="G638" t="s">
        <v>42</v>
      </c>
      <c r="H638" t="s">
        <v>42</v>
      </c>
      <c r="I638" t="s">
        <v>42</v>
      </c>
      <c r="J638" t="s">
        <v>42</v>
      </c>
      <c r="K638" t="s">
        <v>42</v>
      </c>
      <c r="L638" t="s">
        <v>42</v>
      </c>
    </row>
    <row r="639" spans="1:12" x14ac:dyDescent="0.55000000000000004">
      <c r="A639">
        <v>2018</v>
      </c>
      <c r="B639" t="s">
        <v>53</v>
      </c>
      <c r="C639" t="s">
        <v>63</v>
      </c>
      <c r="D639" t="s">
        <v>65</v>
      </c>
      <c r="E639" t="s">
        <v>42</v>
      </c>
      <c r="F639" t="s">
        <v>42</v>
      </c>
      <c r="G639" t="s">
        <v>42</v>
      </c>
      <c r="H639" t="s">
        <v>42</v>
      </c>
      <c r="I639" t="s">
        <v>42</v>
      </c>
      <c r="J639" t="s">
        <v>42</v>
      </c>
      <c r="K639" t="s">
        <v>42</v>
      </c>
      <c r="L639" t="s">
        <v>42</v>
      </c>
    </row>
    <row r="640" spans="1:12" x14ac:dyDescent="0.55000000000000004">
      <c r="A640">
        <v>2018</v>
      </c>
      <c r="B640" t="s">
        <v>53</v>
      </c>
      <c r="C640" t="s">
        <v>63</v>
      </c>
      <c r="D640" t="s">
        <v>67</v>
      </c>
      <c r="E640">
        <v>96.9</v>
      </c>
      <c r="F640">
        <v>91.8</v>
      </c>
      <c r="G640">
        <v>4577</v>
      </c>
      <c r="H640">
        <v>4280</v>
      </c>
      <c r="I640">
        <v>4658</v>
      </c>
      <c r="J640">
        <v>4320</v>
      </c>
      <c r="K640">
        <v>3900</v>
      </c>
      <c r="L640">
        <v>5000</v>
      </c>
    </row>
    <row r="641" spans="1:12" x14ac:dyDescent="0.55000000000000004">
      <c r="A641">
        <v>2018</v>
      </c>
      <c r="B641" t="s">
        <v>53</v>
      </c>
      <c r="C641" t="s">
        <v>63</v>
      </c>
      <c r="D641" t="s">
        <v>230</v>
      </c>
      <c r="E641" t="s">
        <v>42</v>
      </c>
      <c r="F641" t="s">
        <v>42</v>
      </c>
      <c r="G641" t="s">
        <v>42</v>
      </c>
      <c r="H641" t="s">
        <v>42</v>
      </c>
      <c r="I641" t="s">
        <v>42</v>
      </c>
      <c r="J641" t="s">
        <v>42</v>
      </c>
      <c r="K641" t="s">
        <v>42</v>
      </c>
      <c r="L641" t="s">
        <v>42</v>
      </c>
    </row>
    <row r="642" spans="1:12" x14ac:dyDescent="0.55000000000000004">
      <c r="A642">
        <v>2018</v>
      </c>
      <c r="B642" t="s">
        <v>53</v>
      </c>
      <c r="C642" t="s">
        <v>63</v>
      </c>
      <c r="D642" t="s">
        <v>285</v>
      </c>
      <c r="E642" t="s">
        <v>42</v>
      </c>
      <c r="F642" t="s">
        <v>42</v>
      </c>
      <c r="G642" t="s">
        <v>42</v>
      </c>
      <c r="H642" t="s">
        <v>42</v>
      </c>
      <c r="I642" t="s">
        <v>42</v>
      </c>
      <c r="J642" t="s">
        <v>42</v>
      </c>
      <c r="K642" t="s">
        <v>42</v>
      </c>
      <c r="L642" t="s">
        <v>42</v>
      </c>
    </row>
    <row r="643" spans="1:12" x14ac:dyDescent="0.55000000000000004">
      <c r="A643">
        <v>2018</v>
      </c>
      <c r="B643" t="s">
        <v>53</v>
      </c>
      <c r="C643" t="s">
        <v>63</v>
      </c>
      <c r="D643" t="s">
        <v>69</v>
      </c>
      <c r="E643">
        <v>98.4</v>
      </c>
      <c r="F643">
        <v>95.3</v>
      </c>
      <c r="G643">
        <v>4338</v>
      </c>
      <c r="H643">
        <v>4375</v>
      </c>
      <c r="I643">
        <v>4472</v>
      </c>
      <c r="J643">
        <v>4458</v>
      </c>
      <c r="K643">
        <v>4000</v>
      </c>
      <c r="L643">
        <v>5000</v>
      </c>
    </row>
    <row r="644" spans="1:12" x14ac:dyDescent="0.55000000000000004">
      <c r="A644">
        <v>2018</v>
      </c>
      <c r="B644" t="s">
        <v>53</v>
      </c>
      <c r="C644" t="s">
        <v>63</v>
      </c>
      <c r="D644" t="s">
        <v>286</v>
      </c>
      <c r="E644">
        <v>93.5</v>
      </c>
      <c r="F644">
        <v>93.5</v>
      </c>
      <c r="G644">
        <v>4432</v>
      </c>
      <c r="H644">
        <v>4400</v>
      </c>
      <c r="I644">
        <v>4499</v>
      </c>
      <c r="J644">
        <v>4500</v>
      </c>
      <c r="K644">
        <v>4000</v>
      </c>
      <c r="L644">
        <v>5000</v>
      </c>
    </row>
    <row r="645" spans="1:12" x14ac:dyDescent="0.55000000000000004">
      <c r="A645">
        <v>2018</v>
      </c>
      <c r="B645" t="s">
        <v>53</v>
      </c>
      <c r="C645" t="s">
        <v>72</v>
      </c>
      <c r="D645" t="s">
        <v>322</v>
      </c>
      <c r="E645" t="s">
        <v>42</v>
      </c>
      <c r="F645" t="s">
        <v>42</v>
      </c>
      <c r="G645" t="s">
        <v>42</v>
      </c>
      <c r="H645" t="s">
        <v>42</v>
      </c>
      <c r="I645" t="s">
        <v>42</v>
      </c>
      <c r="J645" t="s">
        <v>42</v>
      </c>
      <c r="K645" t="s">
        <v>42</v>
      </c>
      <c r="L645" t="s">
        <v>42</v>
      </c>
    </row>
    <row r="646" spans="1:12" x14ac:dyDescent="0.55000000000000004">
      <c r="A646">
        <v>2018</v>
      </c>
      <c r="B646" t="s">
        <v>53</v>
      </c>
      <c r="C646" t="s">
        <v>72</v>
      </c>
      <c r="D646" t="s">
        <v>74</v>
      </c>
      <c r="E646">
        <v>87</v>
      </c>
      <c r="F646">
        <v>69.599999999999994</v>
      </c>
      <c r="G646">
        <v>3309</v>
      </c>
      <c r="H646">
        <v>3200</v>
      </c>
      <c r="I646">
        <v>3371</v>
      </c>
      <c r="J646">
        <v>3250</v>
      </c>
      <c r="K646">
        <v>3000</v>
      </c>
      <c r="L646">
        <v>3800</v>
      </c>
    </row>
    <row r="647" spans="1:12" x14ac:dyDescent="0.55000000000000004">
      <c r="A647">
        <v>2018</v>
      </c>
      <c r="B647" t="s">
        <v>53</v>
      </c>
      <c r="C647" t="s">
        <v>72</v>
      </c>
      <c r="D647" t="s">
        <v>75</v>
      </c>
      <c r="E647">
        <v>89</v>
      </c>
      <c r="F647">
        <v>84.6</v>
      </c>
      <c r="G647">
        <v>3189</v>
      </c>
      <c r="H647">
        <v>3040</v>
      </c>
      <c r="I647">
        <v>3237</v>
      </c>
      <c r="J647">
        <v>3060</v>
      </c>
      <c r="K647">
        <v>3000</v>
      </c>
      <c r="L647">
        <v>3300</v>
      </c>
    </row>
    <row r="648" spans="1:12" x14ac:dyDescent="0.55000000000000004">
      <c r="A648">
        <v>2018</v>
      </c>
      <c r="B648" t="s">
        <v>53</v>
      </c>
      <c r="C648" t="s">
        <v>72</v>
      </c>
      <c r="D648" t="s">
        <v>76</v>
      </c>
      <c r="E648">
        <v>91.7</v>
      </c>
      <c r="F648">
        <v>85.1</v>
      </c>
      <c r="G648">
        <v>3295</v>
      </c>
      <c r="H648">
        <v>3300</v>
      </c>
      <c r="I648">
        <v>3372</v>
      </c>
      <c r="J648">
        <v>3300</v>
      </c>
      <c r="K648">
        <v>3000</v>
      </c>
      <c r="L648">
        <v>3600</v>
      </c>
    </row>
    <row r="649" spans="1:12" x14ac:dyDescent="0.55000000000000004">
      <c r="A649">
        <v>2018</v>
      </c>
      <c r="B649" t="s">
        <v>53</v>
      </c>
      <c r="C649" t="s">
        <v>90</v>
      </c>
      <c r="D649" t="s">
        <v>323</v>
      </c>
      <c r="E649" t="s">
        <v>42</v>
      </c>
      <c r="F649" t="s">
        <v>42</v>
      </c>
      <c r="G649" t="s">
        <v>42</v>
      </c>
      <c r="H649" t="s">
        <v>42</v>
      </c>
      <c r="I649" t="s">
        <v>42</v>
      </c>
      <c r="J649" t="s">
        <v>42</v>
      </c>
      <c r="K649" t="s">
        <v>42</v>
      </c>
      <c r="L649" t="s">
        <v>42</v>
      </c>
    </row>
    <row r="650" spans="1:12" x14ac:dyDescent="0.55000000000000004">
      <c r="A650">
        <v>2018</v>
      </c>
      <c r="B650" t="s">
        <v>53</v>
      </c>
      <c r="C650" t="s">
        <v>90</v>
      </c>
      <c r="D650" t="s">
        <v>92</v>
      </c>
      <c r="E650">
        <v>94.6</v>
      </c>
      <c r="F650">
        <v>94.6</v>
      </c>
      <c r="G650">
        <v>3230</v>
      </c>
      <c r="H650">
        <v>3250</v>
      </c>
      <c r="I650">
        <v>3469</v>
      </c>
      <c r="J650">
        <v>3450</v>
      </c>
      <c r="K650">
        <v>3300</v>
      </c>
      <c r="L650">
        <v>3500</v>
      </c>
    </row>
    <row r="651" spans="1:12" x14ac:dyDescent="0.55000000000000004">
      <c r="A651">
        <v>2018</v>
      </c>
      <c r="B651" t="s">
        <v>53</v>
      </c>
      <c r="C651" t="s">
        <v>90</v>
      </c>
      <c r="D651" t="s">
        <v>93</v>
      </c>
      <c r="E651">
        <v>98</v>
      </c>
      <c r="F651">
        <v>98</v>
      </c>
      <c r="G651">
        <v>3306</v>
      </c>
      <c r="H651">
        <v>3350</v>
      </c>
      <c r="I651">
        <v>3546</v>
      </c>
      <c r="J651">
        <v>3550</v>
      </c>
      <c r="K651">
        <v>3400</v>
      </c>
      <c r="L651">
        <v>3750</v>
      </c>
    </row>
    <row r="652" spans="1:12" x14ac:dyDescent="0.55000000000000004">
      <c r="A652">
        <v>2018</v>
      </c>
      <c r="B652" t="s">
        <v>53</v>
      </c>
      <c r="C652" t="s">
        <v>94</v>
      </c>
      <c r="D652" t="s">
        <v>193</v>
      </c>
      <c r="E652">
        <v>81</v>
      </c>
      <c r="F652">
        <v>23.8</v>
      </c>
      <c r="G652">
        <v>2000</v>
      </c>
      <c r="H652">
        <v>1750</v>
      </c>
      <c r="I652">
        <v>2100</v>
      </c>
      <c r="J652">
        <v>1800</v>
      </c>
      <c r="K652">
        <v>1500</v>
      </c>
      <c r="L652">
        <v>2700</v>
      </c>
    </row>
    <row r="653" spans="1:12" x14ac:dyDescent="0.55000000000000004">
      <c r="A653">
        <v>2018</v>
      </c>
      <c r="B653" t="s">
        <v>53</v>
      </c>
      <c r="C653" t="s">
        <v>289</v>
      </c>
      <c r="D653" t="s">
        <v>290</v>
      </c>
      <c r="E653">
        <v>90.5</v>
      </c>
      <c r="F653">
        <v>81.099999999999994</v>
      </c>
      <c r="G653">
        <v>4283</v>
      </c>
      <c r="H653">
        <v>3600</v>
      </c>
      <c r="I653">
        <v>4381</v>
      </c>
      <c r="J653">
        <v>3630</v>
      </c>
      <c r="K653">
        <v>3275</v>
      </c>
      <c r="L653">
        <v>4642</v>
      </c>
    </row>
    <row r="654" spans="1:12" x14ac:dyDescent="0.55000000000000004">
      <c r="A654">
        <v>2018</v>
      </c>
      <c r="B654" t="s">
        <v>53</v>
      </c>
      <c r="C654" t="s">
        <v>289</v>
      </c>
      <c r="D654" t="s">
        <v>324</v>
      </c>
      <c r="E654">
        <v>89.5</v>
      </c>
      <c r="F654">
        <v>78.900000000000006</v>
      </c>
      <c r="G654">
        <v>5017</v>
      </c>
      <c r="H654">
        <v>4800</v>
      </c>
      <c r="I654">
        <v>5136</v>
      </c>
      <c r="J654">
        <v>4800</v>
      </c>
      <c r="K654">
        <v>3600</v>
      </c>
      <c r="L654">
        <v>6435</v>
      </c>
    </row>
    <row r="655" spans="1:12" x14ac:dyDescent="0.55000000000000004">
      <c r="A655">
        <v>2018</v>
      </c>
      <c r="B655" t="s">
        <v>53</v>
      </c>
      <c r="C655" t="s">
        <v>325</v>
      </c>
      <c r="D655" t="s">
        <v>81</v>
      </c>
      <c r="E655">
        <v>88.6</v>
      </c>
      <c r="F655">
        <v>84.3</v>
      </c>
      <c r="G655">
        <v>4105</v>
      </c>
      <c r="H655">
        <v>3800</v>
      </c>
      <c r="I655">
        <v>4188</v>
      </c>
      <c r="J655">
        <v>3975</v>
      </c>
      <c r="K655">
        <v>3500</v>
      </c>
      <c r="L655">
        <v>4900</v>
      </c>
    </row>
    <row r="656" spans="1:12" x14ac:dyDescent="0.55000000000000004">
      <c r="A656">
        <v>2018</v>
      </c>
      <c r="B656" t="s">
        <v>53</v>
      </c>
      <c r="C656" t="s">
        <v>325</v>
      </c>
      <c r="D656" t="s">
        <v>195</v>
      </c>
      <c r="E656">
        <v>84.2</v>
      </c>
      <c r="F656">
        <v>55.3</v>
      </c>
      <c r="G656">
        <v>3371</v>
      </c>
      <c r="H656">
        <v>3414</v>
      </c>
      <c r="I656">
        <v>3385</v>
      </c>
      <c r="J656">
        <v>3414</v>
      </c>
      <c r="K656">
        <v>3000</v>
      </c>
      <c r="L656">
        <v>3600</v>
      </c>
    </row>
    <row r="657" spans="1:12" x14ac:dyDescent="0.55000000000000004">
      <c r="A657">
        <v>2018</v>
      </c>
      <c r="B657" t="s">
        <v>146</v>
      </c>
      <c r="C657" t="s">
        <v>147</v>
      </c>
      <c r="D657" t="s">
        <v>293</v>
      </c>
      <c r="E657">
        <v>86.7</v>
      </c>
      <c r="F657">
        <v>86.7</v>
      </c>
      <c r="G657">
        <v>3277</v>
      </c>
      <c r="H657">
        <v>3300</v>
      </c>
      <c r="I657">
        <v>3324</v>
      </c>
      <c r="J657">
        <v>3300</v>
      </c>
      <c r="K657">
        <v>3196</v>
      </c>
      <c r="L657">
        <v>3500</v>
      </c>
    </row>
    <row r="658" spans="1:12" x14ac:dyDescent="0.55000000000000004">
      <c r="A658">
        <v>2018</v>
      </c>
      <c r="B658" t="s">
        <v>146</v>
      </c>
      <c r="C658" t="s">
        <v>147</v>
      </c>
      <c r="D658" t="s">
        <v>326</v>
      </c>
      <c r="E658">
        <v>91.2</v>
      </c>
      <c r="F658">
        <v>52.9</v>
      </c>
      <c r="G658">
        <v>2854</v>
      </c>
      <c r="H658">
        <v>2800</v>
      </c>
      <c r="I658">
        <v>2861</v>
      </c>
      <c r="J658">
        <v>2800</v>
      </c>
      <c r="K658">
        <v>2600</v>
      </c>
      <c r="L658">
        <v>3000</v>
      </c>
    </row>
    <row r="659" spans="1:12" x14ac:dyDescent="0.55000000000000004">
      <c r="A659">
        <v>2018</v>
      </c>
      <c r="B659" t="s">
        <v>146</v>
      </c>
      <c r="C659" t="s">
        <v>147</v>
      </c>
      <c r="D659" t="s">
        <v>327</v>
      </c>
      <c r="E659">
        <v>94.7</v>
      </c>
      <c r="F659">
        <v>89.5</v>
      </c>
      <c r="G659">
        <v>3570</v>
      </c>
      <c r="H659">
        <v>3600</v>
      </c>
      <c r="I659">
        <v>3576</v>
      </c>
      <c r="J659">
        <v>3600</v>
      </c>
      <c r="K659">
        <v>3300</v>
      </c>
      <c r="L659">
        <v>4000</v>
      </c>
    </row>
    <row r="660" spans="1:12" x14ac:dyDescent="0.55000000000000004">
      <c r="A660">
        <v>2018</v>
      </c>
      <c r="B660" t="s">
        <v>146</v>
      </c>
      <c r="C660" t="s">
        <v>147</v>
      </c>
      <c r="D660" t="s">
        <v>151</v>
      </c>
      <c r="E660">
        <v>96.8</v>
      </c>
      <c r="F660">
        <v>96.8</v>
      </c>
      <c r="G660">
        <v>4031</v>
      </c>
      <c r="H660">
        <v>4000</v>
      </c>
      <c r="I660">
        <v>4088</v>
      </c>
      <c r="J660">
        <v>4016</v>
      </c>
      <c r="K660">
        <v>3830</v>
      </c>
      <c r="L660">
        <v>4200</v>
      </c>
    </row>
    <row r="661" spans="1:12" x14ac:dyDescent="0.55000000000000004">
      <c r="A661">
        <v>2018</v>
      </c>
      <c r="B661" t="s">
        <v>146</v>
      </c>
      <c r="C661" t="s">
        <v>155</v>
      </c>
      <c r="D661" t="s">
        <v>156</v>
      </c>
      <c r="E661">
        <v>84.6</v>
      </c>
      <c r="F661">
        <v>76.900000000000006</v>
      </c>
      <c r="G661">
        <v>3193</v>
      </c>
      <c r="H661">
        <v>3100</v>
      </c>
      <c r="I661">
        <v>3451</v>
      </c>
      <c r="J661">
        <v>3300</v>
      </c>
      <c r="K661">
        <v>3000</v>
      </c>
      <c r="L661">
        <v>3600</v>
      </c>
    </row>
    <row r="662" spans="1:12" x14ac:dyDescent="0.55000000000000004">
      <c r="A662">
        <v>2018</v>
      </c>
      <c r="B662" t="s">
        <v>146</v>
      </c>
      <c r="C662" t="s">
        <v>155</v>
      </c>
      <c r="D662" t="s">
        <v>214</v>
      </c>
      <c r="E662">
        <v>94.5</v>
      </c>
      <c r="F662">
        <v>81.8</v>
      </c>
      <c r="G662">
        <v>3382</v>
      </c>
      <c r="H662">
        <v>3300</v>
      </c>
      <c r="I662">
        <v>3438</v>
      </c>
      <c r="J662">
        <v>3343</v>
      </c>
      <c r="K662">
        <v>3050</v>
      </c>
      <c r="L662">
        <v>3500</v>
      </c>
    </row>
    <row r="663" spans="1:12" x14ac:dyDescent="0.55000000000000004">
      <c r="A663">
        <v>2018</v>
      </c>
      <c r="B663" t="s">
        <v>146</v>
      </c>
      <c r="C663" t="s">
        <v>155</v>
      </c>
      <c r="D663" t="s">
        <v>157</v>
      </c>
      <c r="E663">
        <v>97.1</v>
      </c>
      <c r="F663">
        <v>94.3</v>
      </c>
      <c r="G663">
        <v>3374</v>
      </c>
      <c r="H663">
        <v>3250</v>
      </c>
      <c r="I663">
        <v>3439</v>
      </c>
      <c r="J663">
        <v>3250</v>
      </c>
      <c r="K663">
        <v>3000</v>
      </c>
      <c r="L663">
        <v>3600</v>
      </c>
    </row>
    <row r="664" spans="1:12" x14ac:dyDescent="0.55000000000000004">
      <c r="A664">
        <v>2018</v>
      </c>
      <c r="B664" t="s">
        <v>146</v>
      </c>
      <c r="C664" t="s">
        <v>155</v>
      </c>
      <c r="D664" t="s">
        <v>328</v>
      </c>
      <c r="E664">
        <v>93.5</v>
      </c>
      <c r="F664">
        <v>82.3</v>
      </c>
      <c r="G664">
        <v>3343</v>
      </c>
      <c r="H664">
        <v>3200</v>
      </c>
      <c r="I664">
        <v>3484</v>
      </c>
      <c r="J664">
        <v>3253</v>
      </c>
      <c r="K664">
        <v>3100</v>
      </c>
      <c r="L664">
        <v>3600</v>
      </c>
    </row>
    <row r="665" spans="1:12" x14ac:dyDescent="0.55000000000000004">
      <c r="A665">
        <v>2018</v>
      </c>
      <c r="B665" t="s">
        <v>146</v>
      </c>
      <c r="C665" t="s">
        <v>155</v>
      </c>
      <c r="D665" t="s">
        <v>297</v>
      </c>
      <c r="E665">
        <v>100</v>
      </c>
      <c r="F665">
        <v>100</v>
      </c>
      <c r="G665">
        <v>3368</v>
      </c>
      <c r="H665">
        <v>3300</v>
      </c>
      <c r="I665">
        <v>3479</v>
      </c>
      <c r="J665">
        <v>3400</v>
      </c>
      <c r="K665">
        <v>3300</v>
      </c>
      <c r="L665">
        <v>3800</v>
      </c>
    </row>
    <row r="666" spans="1:12" x14ac:dyDescent="0.55000000000000004">
      <c r="A666">
        <v>2018</v>
      </c>
      <c r="B666" t="s">
        <v>146</v>
      </c>
      <c r="C666" t="s">
        <v>155</v>
      </c>
      <c r="D666" t="s">
        <v>298</v>
      </c>
      <c r="E666">
        <v>92.3</v>
      </c>
      <c r="F666">
        <v>84.6</v>
      </c>
      <c r="G666">
        <v>3245</v>
      </c>
      <c r="H666">
        <v>3100</v>
      </c>
      <c r="I666">
        <v>3545</v>
      </c>
      <c r="J666">
        <v>3510</v>
      </c>
      <c r="K666">
        <v>3100</v>
      </c>
      <c r="L666">
        <v>3850</v>
      </c>
    </row>
    <row r="667" spans="1:12" x14ac:dyDescent="0.55000000000000004">
      <c r="A667">
        <v>2018</v>
      </c>
      <c r="B667" t="s">
        <v>146</v>
      </c>
      <c r="C667" t="s">
        <v>155</v>
      </c>
      <c r="D667" t="s">
        <v>329</v>
      </c>
      <c r="E667">
        <v>90.4</v>
      </c>
      <c r="F667">
        <v>69.2</v>
      </c>
      <c r="G667">
        <v>2837</v>
      </c>
      <c r="H667">
        <v>2800</v>
      </c>
      <c r="I667">
        <v>2895</v>
      </c>
      <c r="J667">
        <v>2900</v>
      </c>
      <c r="K667">
        <v>2625</v>
      </c>
      <c r="L667">
        <v>3200</v>
      </c>
    </row>
    <row r="668" spans="1:12" x14ac:dyDescent="0.55000000000000004">
      <c r="A668">
        <v>2018</v>
      </c>
      <c r="B668" t="s">
        <v>146</v>
      </c>
      <c r="C668" t="s">
        <v>330</v>
      </c>
      <c r="D668" t="s">
        <v>301</v>
      </c>
      <c r="E668">
        <v>96.3</v>
      </c>
      <c r="F668">
        <v>91.5</v>
      </c>
      <c r="G668">
        <v>3188</v>
      </c>
      <c r="H668">
        <v>3050</v>
      </c>
      <c r="I668">
        <v>3216</v>
      </c>
      <c r="J668">
        <v>3075</v>
      </c>
      <c r="K668">
        <v>3000</v>
      </c>
      <c r="L668">
        <v>3250</v>
      </c>
    </row>
    <row r="669" spans="1:12" x14ac:dyDescent="0.55000000000000004">
      <c r="A669">
        <v>2018</v>
      </c>
      <c r="B669" t="s">
        <v>146</v>
      </c>
      <c r="C669" t="s">
        <v>330</v>
      </c>
      <c r="D669" t="s">
        <v>331</v>
      </c>
      <c r="E669">
        <v>100</v>
      </c>
      <c r="F669">
        <v>100</v>
      </c>
      <c r="G669">
        <v>4111</v>
      </c>
      <c r="H669">
        <v>4000</v>
      </c>
      <c r="I669">
        <v>4116</v>
      </c>
      <c r="J669">
        <v>4045</v>
      </c>
      <c r="K669">
        <v>4000</v>
      </c>
      <c r="L669">
        <v>4400</v>
      </c>
    </row>
    <row r="670" spans="1:12" x14ac:dyDescent="0.55000000000000004">
      <c r="A670">
        <v>2018</v>
      </c>
      <c r="B670" t="s">
        <v>146</v>
      </c>
      <c r="C670" t="s">
        <v>330</v>
      </c>
      <c r="D670" t="s">
        <v>332</v>
      </c>
      <c r="E670">
        <v>95.7</v>
      </c>
      <c r="F670">
        <v>95.7</v>
      </c>
      <c r="G670">
        <v>3838</v>
      </c>
      <c r="H670">
        <v>4000</v>
      </c>
      <c r="I670">
        <v>3914</v>
      </c>
      <c r="J670">
        <v>4000</v>
      </c>
      <c r="K670">
        <v>3600</v>
      </c>
      <c r="L670">
        <v>4300</v>
      </c>
    </row>
    <row r="671" spans="1:12" x14ac:dyDescent="0.55000000000000004">
      <c r="A671">
        <v>2018</v>
      </c>
      <c r="B671" t="s">
        <v>146</v>
      </c>
      <c r="C671" t="s">
        <v>330</v>
      </c>
      <c r="D671" t="s">
        <v>333</v>
      </c>
      <c r="E671">
        <v>98.3</v>
      </c>
      <c r="F671">
        <v>96.6</v>
      </c>
      <c r="G671">
        <v>3618</v>
      </c>
      <c r="H671">
        <v>3456</v>
      </c>
      <c r="I671">
        <v>3688</v>
      </c>
      <c r="J671">
        <v>3550</v>
      </c>
      <c r="K671">
        <v>3400</v>
      </c>
      <c r="L671">
        <v>3800</v>
      </c>
    </row>
    <row r="672" spans="1:12" x14ac:dyDescent="0.55000000000000004">
      <c r="A672">
        <v>2018</v>
      </c>
      <c r="B672" t="s">
        <v>146</v>
      </c>
      <c r="C672" t="s">
        <v>330</v>
      </c>
      <c r="D672" t="s">
        <v>334</v>
      </c>
      <c r="E672">
        <v>92.1</v>
      </c>
      <c r="F672">
        <v>81.599999999999994</v>
      </c>
      <c r="G672">
        <v>2898</v>
      </c>
      <c r="H672">
        <v>2800</v>
      </c>
      <c r="I672">
        <v>2991</v>
      </c>
      <c r="J672">
        <v>2825</v>
      </c>
      <c r="K672">
        <v>2600</v>
      </c>
      <c r="L672">
        <v>3175</v>
      </c>
    </row>
    <row r="673" spans="1:12" x14ac:dyDescent="0.55000000000000004">
      <c r="A673">
        <v>2018</v>
      </c>
      <c r="B673" t="s">
        <v>146</v>
      </c>
      <c r="C673" t="s">
        <v>335</v>
      </c>
      <c r="D673" t="s">
        <v>336</v>
      </c>
      <c r="E673">
        <v>95.3</v>
      </c>
      <c r="F673">
        <v>90.7</v>
      </c>
      <c r="G673">
        <v>3260</v>
      </c>
      <c r="H673">
        <v>3350</v>
      </c>
      <c r="I673">
        <v>3536</v>
      </c>
      <c r="J673">
        <v>3500</v>
      </c>
      <c r="K673">
        <v>3350</v>
      </c>
      <c r="L673">
        <v>3800</v>
      </c>
    </row>
    <row r="674" spans="1:12" x14ac:dyDescent="0.55000000000000004">
      <c r="A674">
        <v>2018</v>
      </c>
      <c r="B674" t="s">
        <v>146</v>
      </c>
      <c r="C674" t="s">
        <v>337</v>
      </c>
      <c r="D674" t="s">
        <v>338</v>
      </c>
      <c r="E674">
        <v>95.8</v>
      </c>
      <c r="F674">
        <v>87.5</v>
      </c>
      <c r="G674">
        <v>3476</v>
      </c>
      <c r="H674">
        <v>3300</v>
      </c>
      <c r="I674">
        <v>3571</v>
      </c>
      <c r="J674">
        <v>3350</v>
      </c>
      <c r="K674">
        <v>3300</v>
      </c>
      <c r="L674">
        <v>3800</v>
      </c>
    </row>
    <row r="675" spans="1:12" x14ac:dyDescent="0.55000000000000004">
      <c r="A675">
        <v>2018</v>
      </c>
      <c r="B675" t="s">
        <v>146</v>
      </c>
      <c r="C675" t="s">
        <v>337</v>
      </c>
      <c r="D675" t="s">
        <v>168</v>
      </c>
      <c r="E675">
        <v>96.6</v>
      </c>
      <c r="F675">
        <v>96.6</v>
      </c>
      <c r="G675">
        <v>3409</v>
      </c>
      <c r="H675">
        <v>3450</v>
      </c>
      <c r="I675">
        <v>3431</v>
      </c>
      <c r="J675">
        <v>3460</v>
      </c>
      <c r="K675">
        <v>3300</v>
      </c>
      <c r="L675">
        <v>3610</v>
      </c>
    </row>
    <row r="676" spans="1:12" x14ac:dyDescent="0.55000000000000004">
      <c r="A676">
        <v>2018</v>
      </c>
      <c r="B676" t="s">
        <v>146</v>
      </c>
      <c r="C676" t="s">
        <v>337</v>
      </c>
      <c r="D676" t="s">
        <v>169</v>
      </c>
      <c r="E676">
        <v>100</v>
      </c>
      <c r="F676">
        <v>100</v>
      </c>
      <c r="G676">
        <v>3258</v>
      </c>
      <c r="H676">
        <v>3300</v>
      </c>
      <c r="I676">
        <v>3276</v>
      </c>
      <c r="J676">
        <v>3300</v>
      </c>
      <c r="K676">
        <v>3000</v>
      </c>
      <c r="L676">
        <v>3600</v>
      </c>
    </row>
    <row r="677" spans="1:12" x14ac:dyDescent="0.55000000000000004">
      <c r="A677">
        <v>2018</v>
      </c>
      <c r="B677" t="s">
        <v>146</v>
      </c>
      <c r="C677" t="s">
        <v>337</v>
      </c>
      <c r="D677" t="s">
        <v>217</v>
      </c>
      <c r="E677" t="s">
        <v>42</v>
      </c>
      <c r="F677" t="s">
        <v>42</v>
      </c>
      <c r="G677" t="s">
        <v>42</v>
      </c>
      <c r="H677" t="s">
        <v>42</v>
      </c>
      <c r="I677" t="s">
        <v>42</v>
      </c>
      <c r="J677" t="s">
        <v>42</v>
      </c>
      <c r="K677" t="s">
        <v>42</v>
      </c>
      <c r="L677" t="s">
        <v>42</v>
      </c>
    </row>
    <row r="678" spans="1:12" x14ac:dyDescent="0.55000000000000004">
      <c r="A678">
        <v>2018</v>
      </c>
      <c r="B678" t="s">
        <v>146</v>
      </c>
      <c r="C678" t="s">
        <v>162</v>
      </c>
      <c r="D678" t="s">
        <v>163</v>
      </c>
      <c r="E678">
        <v>83.7</v>
      </c>
      <c r="F678">
        <v>75.5</v>
      </c>
      <c r="G678">
        <v>3048</v>
      </c>
      <c r="H678">
        <v>3000</v>
      </c>
      <c r="I678">
        <v>3298</v>
      </c>
      <c r="J678">
        <v>3200</v>
      </c>
      <c r="K678">
        <v>3000</v>
      </c>
      <c r="L678">
        <v>3550</v>
      </c>
    </row>
    <row r="679" spans="1:12" x14ac:dyDescent="0.55000000000000004">
      <c r="A679">
        <v>2018</v>
      </c>
      <c r="B679" t="s">
        <v>146</v>
      </c>
      <c r="C679" t="s">
        <v>162</v>
      </c>
      <c r="D679" t="s">
        <v>164</v>
      </c>
      <c r="E679">
        <v>83.3</v>
      </c>
      <c r="F679">
        <v>69.400000000000006</v>
      </c>
      <c r="G679">
        <v>3506</v>
      </c>
      <c r="H679">
        <v>3500</v>
      </c>
      <c r="I679">
        <v>3609</v>
      </c>
      <c r="J679">
        <v>3500</v>
      </c>
      <c r="K679">
        <v>3300</v>
      </c>
      <c r="L679">
        <v>4000</v>
      </c>
    </row>
    <row r="680" spans="1:12" x14ac:dyDescent="0.55000000000000004">
      <c r="A680">
        <v>2018</v>
      </c>
      <c r="B680" t="s">
        <v>146</v>
      </c>
      <c r="C680" t="s">
        <v>165</v>
      </c>
      <c r="D680" t="s">
        <v>339</v>
      </c>
      <c r="E680">
        <v>86.5</v>
      </c>
      <c r="F680">
        <v>64.900000000000006</v>
      </c>
      <c r="G680">
        <v>2643</v>
      </c>
      <c r="H680">
        <v>2530</v>
      </c>
      <c r="I680">
        <v>2929</v>
      </c>
      <c r="J680">
        <v>2663</v>
      </c>
      <c r="K680">
        <v>2415</v>
      </c>
      <c r="L680">
        <v>3300</v>
      </c>
    </row>
    <row r="681" spans="1:12" x14ac:dyDescent="0.55000000000000004">
      <c r="A681">
        <v>2018</v>
      </c>
      <c r="B681" t="s">
        <v>146</v>
      </c>
      <c r="C681" t="s">
        <v>152</v>
      </c>
      <c r="D681" t="s">
        <v>153</v>
      </c>
      <c r="E681">
        <v>84.9</v>
      </c>
      <c r="F681">
        <v>54.7</v>
      </c>
      <c r="G681">
        <v>2818</v>
      </c>
      <c r="H681">
        <v>2850</v>
      </c>
      <c r="I681">
        <v>3055</v>
      </c>
      <c r="J681">
        <v>2950</v>
      </c>
      <c r="K681">
        <v>2550</v>
      </c>
      <c r="L681">
        <v>3000</v>
      </c>
    </row>
    <row r="682" spans="1:12" x14ac:dyDescent="0.55000000000000004">
      <c r="A682">
        <v>2018</v>
      </c>
      <c r="B682" t="s">
        <v>146</v>
      </c>
      <c r="C682" t="s">
        <v>152</v>
      </c>
      <c r="D682" t="s">
        <v>154</v>
      </c>
      <c r="E682">
        <v>92.3</v>
      </c>
      <c r="F682">
        <v>76.900000000000006</v>
      </c>
      <c r="G682">
        <v>2710</v>
      </c>
      <c r="H682">
        <v>2700</v>
      </c>
      <c r="I682">
        <v>2796</v>
      </c>
      <c r="J682">
        <v>2775</v>
      </c>
      <c r="K682">
        <v>2500</v>
      </c>
      <c r="L682">
        <v>3000</v>
      </c>
    </row>
    <row r="683" spans="1:12" x14ac:dyDescent="0.55000000000000004">
      <c r="A683">
        <v>2018</v>
      </c>
      <c r="B683" t="s">
        <v>146</v>
      </c>
      <c r="C683" t="s">
        <v>170</v>
      </c>
      <c r="D683" t="s">
        <v>171</v>
      </c>
      <c r="E683">
        <v>78</v>
      </c>
      <c r="F683">
        <v>70.7</v>
      </c>
      <c r="G683">
        <v>3440</v>
      </c>
      <c r="H683">
        <v>3200</v>
      </c>
      <c r="I683">
        <v>3454</v>
      </c>
      <c r="J683">
        <v>3200</v>
      </c>
      <c r="K683">
        <v>3000</v>
      </c>
      <c r="L683">
        <v>3500</v>
      </c>
    </row>
    <row r="684" spans="1:12" x14ac:dyDescent="0.55000000000000004">
      <c r="A684">
        <v>2018</v>
      </c>
      <c r="B684" t="s">
        <v>146</v>
      </c>
      <c r="C684" t="s">
        <v>170</v>
      </c>
      <c r="D684" t="s">
        <v>172</v>
      </c>
      <c r="E684">
        <v>82.4</v>
      </c>
      <c r="F684">
        <v>61.8</v>
      </c>
      <c r="G684">
        <v>3412</v>
      </c>
      <c r="H684">
        <v>3300</v>
      </c>
      <c r="I684">
        <v>3451</v>
      </c>
      <c r="J684">
        <v>3380</v>
      </c>
      <c r="K684">
        <v>3025</v>
      </c>
      <c r="L684">
        <v>3875</v>
      </c>
    </row>
    <row r="685" spans="1:12" x14ac:dyDescent="0.55000000000000004">
      <c r="A685">
        <v>2018</v>
      </c>
      <c r="B685" t="s">
        <v>146</v>
      </c>
      <c r="C685" t="s">
        <v>170</v>
      </c>
      <c r="D685" t="s">
        <v>173</v>
      </c>
      <c r="E685">
        <v>94.3</v>
      </c>
      <c r="F685">
        <v>90.6</v>
      </c>
      <c r="G685">
        <v>3587</v>
      </c>
      <c r="H685">
        <v>3400</v>
      </c>
      <c r="I685">
        <v>3718</v>
      </c>
      <c r="J685">
        <v>3500</v>
      </c>
      <c r="K685">
        <v>3100</v>
      </c>
      <c r="L685">
        <v>4000</v>
      </c>
    </row>
    <row r="686" spans="1:12" x14ac:dyDescent="0.55000000000000004">
      <c r="A686">
        <v>2018</v>
      </c>
      <c r="B686" t="s">
        <v>146</v>
      </c>
      <c r="C686" t="s">
        <v>170</v>
      </c>
      <c r="D686" t="s">
        <v>174</v>
      </c>
      <c r="E686">
        <v>93.7</v>
      </c>
      <c r="F686">
        <v>87.3</v>
      </c>
      <c r="G686">
        <v>3633</v>
      </c>
      <c r="H686">
        <v>3500</v>
      </c>
      <c r="I686">
        <v>3812</v>
      </c>
      <c r="J686">
        <v>3600</v>
      </c>
      <c r="K686">
        <v>3275</v>
      </c>
      <c r="L686">
        <v>4298</v>
      </c>
    </row>
    <row r="687" spans="1:12" x14ac:dyDescent="0.55000000000000004">
      <c r="A687">
        <v>2018</v>
      </c>
      <c r="B687" t="s">
        <v>146</v>
      </c>
      <c r="C687" t="s">
        <v>170</v>
      </c>
      <c r="D687" t="s">
        <v>218</v>
      </c>
      <c r="E687">
        <v>94.7</v>
      </c>
      <c r="F687">
        <v>89.3</v>
      </c>
      <c r="G687">
        <v>3926</v>
      </c>
      <c r="H687">
        <v>3929</v>
      </c>
      <c r="I687">
        <v>3996</v>
      </c>
      <c r="J687">
        <v>4000</v>
      </c>
      <c r="K687">
        <v>3500</v>
      </c>
      <c r="L687">
        <v>4225</v>
      </c>
    </row>
    <row r="688" spans="1:12" x14ac:dyDescent="0.55000000000000004">
      <c r="A688">
        <v>2018</v>
      </c>
      <c r="B688" t="s">
        <v>146</v>
      </c>
      <c r="C688" t="s">
        <v>236</v>
      </c>
      <c r="D688" t="s">
        <v>237</v>
      </c>
      <c r="E688">
        <v>91.9</v>
      </c>
      <c r="F688">
        <v>74.2</v>
      </c>
      <c r="G688">
        <v>3645</v>
      </c>
      <c r="H688">
        <v>3500</v>
      </c>
      <c r="I688">
        <v>3726</v>
      </c>
      <c r="J688">
        <v>3729</v>
      </c>
      <c r="K688">
        <v>3260</v>
      </c>
      <c r="L688">
        <v>4100</v>
      </c>
    </row>
    <row r="689" spans="1:12" x14ac:dyDescent="0.55000000000000004">
      <c r="A689">
        <v>2018</v>
      </c>
      <c r="B689" t="s">
        <v>146</v>
      </c>
      <c r="C689" t="s">
        <v>179</v>
      </c>
      <c r="D689" t="s">
        <v>180</v>
      </c>
      <c r="E689">
        <v>100</v>
      </c>
      <c r="F689">
        <v>98.2</v>
      </c>
      <c r="G689">
        <v>2897</v>
      </c>
      <c r="H689">
        <v>2925</v>
      </c>
      <c r="I689">
        <v>2911</v>
      </c>
      <c r="J689">
        <v>2925</v>
      </c>
      <c r="K689">
        <v>2800</v>
      </c>
      <c r="L689">
        <v>3100</v>
      </c>
    </row>
    <row r="690" spans="1:12" x14ac:dyDescent="0.55000000000000004">
      <c r="A690">
        <v>2018</v>
      </c>
      <c r="B690" t="s">
        <v>103</v>
      </c>
      <c r="C690" t="s">
        <v>128</v>
      </c>
      <c r="D690" t="s">
        <v>196</v>
      </c>
      <c r="E690">
        <v>96.4</v>
      </c>
      <c r="F690">
        <v>92.3</v>
      </c>
      <c r="G690">
        <v>3576</v>
      </c>
      <c r="H690">
        <v>3000</v>
      </c>
      <c r="I690">
        <v>3607</v>
      </c>
      <c r="J690">
        <v>3000</v>
      </c>
      <c r="K690">
        <v>3000</v>
      </c>
      <c r="L690">
        <v>3650</v>
      </c>
    </row>
    <row r="691" spans="1:12" x14ac:dyDescent="0.55000000000000004">
      <c r="A691">
        <v>2018</v>
      </c>
      <c r="B691" t="s">
        <v>103</v>
      </c>
      <c r="C691" t="s">
        <v>128</v>
      </c>
      <c r="D691" t="s">
        <v>340</v>
      </c>
      <c r="E691">
        <v>96.3</v>
      </c>
      <c r="F691">
        <v>95.1</v>
      </c>
      <c r="G691">
        <v>4396</v>
      </c>
      <c r="H691">
        <v>3450</v>
      </c>
      <c r="I691">
        <v>4439</v>
      </c>
      <c r="J691">
        <v>3550</v>
      </c>
      <c r="K691">
        <v>3013</v>
      </c>
      <c r="L691">
        <v>4773</v>
      </c>
    </row>
    <row r="692" spans="1:12" x14ac:dyDescent="0.55000000000000004">
      <c r="A692">
        <v>2018</v>
      </c>
      <c r="B692" t="s">
        <v>103</v>
      </c>
      <c r="C692" t="s">
        <v>131</v>
      </c>
      <c r="D692" t="s">
        <v>198</v>
      </c>
      <c r="E692">
        <v>91.6</v>
      </c>
      <c r="F692">
        <v>86.5</v>
      </c>
      <c r="G692">
        <v>4017</v>
      </c>
      <c r="H692">
        <v>3600</v>
      </c>
      <c r="I692">
        <v>4133</v>
      </c>
      <c r="J692">
        <v>3700</v>
      </c>
      <c r="K692">
        <v>3250</v>
      </c>
      <c r="L692">
        <v>4500</v>
      </c>
    </row>
    <row r="693" spans="1:12" x14ac:dyDescent="0.55000000000000004">
      <c r="A693">
        <v>2018</v>
      </c>
      <c r="B693" t="s">
        <v>103</v>
      </c>
      <c r="C693" t="s">
        <v>131</v>
      </c>
      <c r="D693" t="s">
        <v>341</v>
      </c>
      <c r="E693">
        <v>97.4</v>
      </c>
      <c r="F693">
        <v>95.6</v>
      </c>
      <c r="G693">
        <v>4433</v>
      </c>
      <c r="H693">
        <v>4000</v>
      </c>
      <c r="I693">
        <v>4544</v>
      </c>
      <c r="J693">
        <v>4000</v>
      </c>
      <c r="K693">
        <v>3500</v>
      </c>
      <c r="L693">
        <v>4800</v>
      </c>
    </row>
    <row r="694" spans="1:12" x14ac:dyDescent="0.55000000000000004">
      <c r="A694">
        <v>2018</v>
      </c>
      <c r="B694" t="s">
        <v>103</v>
      </c>
      <c r="C694" t="s">
        <v>134</v>
      </c>
      <c r="D694" t="s">
        <v>35</v>
      </c>
      <c r="E694">
        <v>91.1</v>
      </c>
      <c r="F694">
        <v>85.6</v>
      </c>
      <c r="G694">
        <v>4017</v>
      </c>
      <c r="H694">
        <v>3500</v>
      </c>
      <c r="I694">
        <v>4140</v>
      </c>
      <c r="J694">
        <v>3700</v>
      </c>
      <c r="K694">
        <v>3200</v>
      </c>
      <c r="L694">
        <v>4600</v>
      </c>
    </row>
    <row r="695" spans="1:12" x14ac:dyDescent="0.55000000000000004">
      <c r="A695">
        <v>2018</v>
      </c>
      <c r="B695" t="s">
        <v>103</v>
      </c>
      <c r="C695" t="s">
        <v>134</v>
      </c>
      <c r="D695" t="s">
        <v>342</v>
      </c>
      <c r="E695">
        <v>93.4</v>
      </c>
      <c r="F695">
        <v>89.5</v>
      </c>
      <c r="G695">
        <v>4599</v>
      </c>
      <c r="H695">
        <v>4000</v>
      </c>
      <c r="I695">
        <v>4721</v>
      </c>
      <c r="J695">
        <v>4000</v>
      </c>
      <c r="K695">
        <v>3500</v>
      </c>
      <c r="L695">
        <v>5200</v>
      </c>
    </row>
    <row r="696" spans="1:12" x14ac:dyDescent="0.55000000000000004">
      <c r="A696">
        <v>2018</v>
      </c>
      <c r="B696" t="s">
        <v>103</v>
      </c>
      <c r="C696" t="s">
        <v>137</v>
      </c>
      <c r="D696" t="s">
        <v>343</v>
      </c>
      <c r="E696">
        <v>93.6</v>
      </c>
      <c r="F696">
        <v>89.5</v>
      </c>
      <c r="G696">
        <v>4058</v>
      </c>
      <c r="H696">
        <v>4000</v>
      </c>
      <c r="I696">
        <v>4160</v>
      </c>
      <c r="J696">
        <v>4000</v>
      </c>
      <c r="K696">
        <v>3600</v>
      </c>
      <c r="L696">
        <v>4600</v>
      </c>
    </row>
    <row r="697" spans="1:12" x14ac:dyDescent="0.55000000000000004">
      <c r="A697">
        <v>2018</v>
      </c>
      <c r="B697" t="s">
        <v>103</v>
      </c>
      <c r="C697" t="s">
        <v>137</v>
      </c>
      <c r="D697" t="s">
        <v>344</v>
      </c>
      <c r="E697">
        <v>100</v>
      </c>
      <c r="F697">
        <v>97.2</v>
      </c>
      <c r="G697">
        <v>4584</v>
      </c>
      <c r="H697">
        <v>4650</v>
      </c>
      <c r="I697">
        <v>4659</v>
      </c>
      <c r="J697">
        <v>4685</v>
      </c>
      <c r="K697">
        <v>4200</v>
      </c>
      <c r="L697">
        <v>5000</v>
      </c>
    </row>
    <row r="698" spans="1:12" x14ac:dyDescent="0.55000000000000004">
      <c r="A698">
        <v>2018</v>
      </c>
      <c r="B698" t="s">
        <v>103</v>
      </c>
      <c r="C698" t="s">
        <v>140</v>
      </c>
      <c r="D698" t="s">
        <v>203</v>
      </c>
      <c r="E698">
        <v>85.6</v>
      </c>
      <c r="F698">
        <v>74.400000000000006</v>
      </c>
      <c r="G698">
        <v>3336</v>
      </c>
      <c r="H698">
        <v>3200</v>
      </c>
      <c r="I698">
        <v>3409</v>
      </c>
      <c r="J698">
        <v>3210</v>
      </c>
      <c r="K698">
        <v>3000</v>
      </c>
      <c r="L698">
        <v>3710</v>
      </c>
    </row>
    <row r="699" spans="1:12" x14ac:dyDescent="0.55000000000000004">
      <c r="A699">
        <v>2018</v>
      </c>
      <c r="B699" t="s">
        <v>103</v>
      </c>
      <c r="C699" t="s">
        <v>140</v>
      </c>
      <c r="D699" t="s">
        <v>345</v>
      </c>
      <c r="E699">
        <v>84.2</v>
      </c>
      <c r="F699">
        <v>78.900000000000006</v>
      </c>
      <c r="G699">
        <v>3818</v>
      </c>
      <c r="H699">
        <v>3550</v>
      </c>
      <c r="I699">
        <v>3880</v>
      </c>
      <c r="J699">
        <v>3600</v>
      </c>
      <c r="K699">
        <v>3200</v>
      </c>
      <c r="L699">
        <v>4100</v>
      </c>
    </row>
    <row r="700" spans="1:12" x14ac:dyDescent="0.55000000000000004">
      <c r="A700">
        <v>2018</v>
      </c>
      <c r="B700" t="s">
        <v>103</v>
      </c>
      <c r="C700" t="s">
        <v>143</v>
      </c>
      <c r="D700" t="s">
        <v>205</v>
      </c>
      <c r="E700">
        <v>92.7</v>
      </c>
      <c r="F700">
        <v>90.8</v>
      </c>
      <c r="G700">
        <v>4704</v>
      </c>
      <c r="H700">
        <v>4500</v>
      </c>
      <c r="I700">
        <v>4856</v>
      </c>
      <c r="J700">
        <v>4500</v>
      </c>
      <c r="K700">
        <v>4050</v>
      </c>
      <c r="L700">
        <v>5600</v>
      </c>
    </row>
    <row r="701" spans="1:12" x14ac:dyDescent="0.55000000000000004">
      <c r="A701">
        <v>2018</v>
      </c>
      <c r="B701" t="s">
        <v>103</v>
      </c>
      <c r="C701" t="s">
        <v>143</v>
      </c>
      <c r="D701" t="s">
        <v>346</v>
      </c>
      <c r="E701">
        <v>94.4</v>
      </c>
      <c r="F701">
        <v>92.6</v>
      </c>
      <c r="G701">
        <v>4986</v>
      </c>
      <c r="H701">
        <v>4750</v>
      </c>
      <c r="I701">
        <v>5256</v>
      </c>
      <c r="J701">
        <v>5513</v>
      </c>
      <c r="K701">
        <v>4500</v>
      </c>
      <c r="L701">
        <v>6000</v>
      </c>
    </row>
    <row r="702" spans="1:12" x14ac:dyDescent="0.55000000000000004">
      <c r="A702">
        <v>2018</v>
      </c>
      <c r="B702" t="s">
        <v>347</v>
      </c>
      <c r="C702" t="s">
        <v>348</v>
      </c>
      <c r="D702" t="s">
        <v>349</v>
      </c>
      <c r="E702">
        <v>98.7</v>
      </c>
      <c r="F702">
        <v>97.5</v>
      </c>
      <c r="G702">
        <v>2858</v>
      </c>
      <c r="H702">
        <v>2850</v>
      </c>
      <c r="I702">
        <v>2879</v>
      </c>
      <c r="J702">
        <v>3000</v>
      </c>
      <c r="K702">
        <v>2700</v>
      </c>
      <c r="L702">
        <v>3000</v>
      </c>
    </row>
    <row r="703" spans="1:12" x14ac:dyDescent="0.55000000000000004">
      <c r="A703">
        <v>2018</v>
      </c>
      <c r="B703" t="s">
        <v>347</v>
      </c>
      <c r="C703" t="s">
        <v>348</v>
      </c>
      <c r="D703" t="s">
        <v>350</v>
      </c>
      <c r="E703">
        <v>88</v>
      </c>
      <c r="F703">
        <v>84</v>
      </c>
      <c r="G703">
        <v>3364</v>
      </c>
      <c r="H703">
        <v>3400</v>
      </c>
      <c r="I703">
        <v>3393</v>
      </c>
      <c r="J703">
        <v>3400</v>
      </c>
      <c r="K703">
        <v>3200</v>
      </c>
      <c r="L703">
        <v>3500</v>
      </c>
    </row>
    <row r="704" spans="1:12" x14ac:dyDescent="0.55000000000000004">
      <c r="A704">
        <v>2018</v>
      </c>
      <c r="B704" t="s">
        <v>347</v>
      </c>
      <c r="C704" t="s">
        <v>348</v>
      </c>
      <c r="D704" t="s">
        <v>351</v>
      </c>
      <c r="E704">
        <v>94</v>
      </c>
      <c r="F704">
        <v>84</v>
      </c>
      <c r="G704">
        <v>2925</v>
      </c>
      <c r="H704">
        <v>3000</v>
      </c>
      <c r="I704">
        <v>3023</v>
      </c>
      <c r="J704">
        <v>3000</v>
      </c>
      <c r="K704">
        <v>2650</v>
      </c>
      <c r="L704">
        <v>3245</v>
      </c>
    </row>
  </sheetData>
  <autoFilter ref="A1:L704" xr:uid="{5F12A534-508F-4842-9449-EE977A6E8BF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2D28-2FCD-4EB8-BE34-CC1FA790ADCF}">
  <sheetPr codeName="Sheet3"/>
  <dimension ref="A1:C137"/>
  <sheetViews>
    <sheetView workbookViewId="0">
      <selection activeCell="A94" sqref="A94"/>
    </sheetView>
  </sheetViews>
  <sheetFormatPr defaultRowHeight="14.4" x14ac:dyDescent="0.55000000000000004"/>
  <cols>
    <col min="1" max="1" width="52.578125" customWidth="1"/>
    <col min="2" max="2" width="14.47265625" customWidth="1"/>
    <col min="3" max="3" width="27.578125" customWidth="1"/>
  </cols>
  <sheetData>
    <row r="1" spans="1:3" x14ac:dyDescent="0.55000000000000004">
      <c r="A1" t="s">
        <v>352</v>
      </c>
      <c r="B1" t="s">
        <v>360</v>
      </c>
      <c r="C1" t="s">
        <v>353</v>
      </c>
    </row>
    <row r="2" spans="1:3" x14ac:dyDescent="0.55000000000000004">
      <c r="A2" t="s">
        <v>361</v>
      </c>
      <c r="B2" t="s">
        <v>362</v>
      </c>
      <c r="C2" t="s">
        <v>354</v>
      </c>
    </row>
    <row r="3" spans="1:3" x14ac:dyDescent="0.55000000000000004">
      <c r="A3" t="s">
        <v>397</v>
      </c>
      <c r="B3" t="s">
        <v>362</v>
      </c>
      <c r="C3" t="s">
        <v>393</v>
      </c>
    </row>
    <row r="4" spans="1:3" x14ac:dyDescent="0.55000000000000004">
      <c r="A4" t="s">
        <v>76</v>
      </c>
      <c r="B4" t="s">
        <v>362</v>
      </c>
      <c r="C4" t="s">
        <v>358</v>
      </c>
    </row>
    <row r="5" spans="1:3" x14ac:dyDescent="0.55000000000000004">
      <c r="A5" t="s">
        <v>75</v>
      </c>
      <c r="B5" t="s">
        <v>362</v>
      </c>
      <c r="C5" t="s">
        <v>358</v>
      </c>
    </row>
    <row r="6" spans="1:3" x14ac:dyDescent="0.55000000000000004">
      <c r="A6" t="s">
        <v>262</v>
      </c>
      <c r="B6" t="s">
        <v>363</v>
      </c>
      <c r="C6" t="s">
        <v>354</v>
      </c>
    </row>
    <row r="7" spans="1:3" x14ac:dyDescent="0.55000000000000004">
      <c r="A7" t="s">
        <v>264</v>
      </c>
      <c r="B7" t="s">
        <v>363</v>
      </c>
      <c r="C7" t="s">
        <v>354</v>
      </c>
    </row>
    <row r="8" spans="1:3" x14ac:dyDescent="0.55000000000000004">
      <c r="A8" t="s">
        <v>326</v>
      </c>
      <c r="B8" t="s">
        <v>364</v>
      </c>
      <c r="C8" t="s">
        <v>354</v>
      </c>
    </row>
    <row r="9" spans="1:3" x14ac:dyDescent="0.55000000000000004">
      <c r="A9" t="s">
        <v>148</v>
      </c>
      <c r="B9" t="s">
        <v>364</v>
      </c>
      <c r="C9" t="s">
        <v>354</v>
      </c>
    </row>
    <row r="10" spans="1:3" x14ac:dyDescent="0.55000000000000004">
      <c r="A10" t="s">
        <v>153</v>
      </c>
      <c r="B10" t="s">
        <v>364</v>
      </c>
      <c r="C10" t="s">
        <v>354</v>
      </c>
    </row>
    <row r="11" spans="1:3" x14ac:dyDescent="0.55000000000000004">
      <c r="A11" t="s">
        <v>154</v>
      </c>
      <c r="B11" t="s">
        <v>364</v>
      </c>
      <c r="C11" t="s">
        <v>354</v>
      </c>
    </row>
    <row r="12" spans="1:3" x14ac:dyDescent="0.55000000000000004">
      <c r="A12" t="s">
        <v>385</v>
      </c>
      <c r="B12" t="s">
        <v>362</v>
      </c>
      <c r="C12" t="s">
        <v>384</v>
      </c>
    </row>
    <row r="13" spans="1:3" x14ac:dyDescent="0.55000000000000004">
      <c r="A13" t="s">
        <v>93</v>
      </c>
      <c r="B13" t="s">
        <v>362</v>
      </c>
      <c r="C13" t="s">
        <v>384</v>
      </c>
    </row>
    <row r="14" spans="1:3" x14ac:dyDescent="0.55000000000000004">
      <c r="A14" t="s">
        <v>92</v>
      </c>
      <c r="B14" t="s">
        <v>362</v>
      </c>
      <c r="C14" t="s">
        <v>384</v>
      </c>
    </row>
    <row r="15" spans="1:3" x14ac:dyDescent="0.55000000000000004">
      <c r="A15" t="s">
        <v>100</v>
      </c>
      <c r="B15" s="2" t="s">
        <v>362</v>
      </c>
      <c r="C15" t="s">
        <v>390</v>
      </c>
    </row>
    <row r="16" spans="1:3" x14ac:dyDescent="0.55000000000000004">
      <c r="A16" t="s">
        <v>248</v>
      </c>
      <c r="B16" t="s">
        <v>363</v>
      </c>
      <c r="C16" t="s">
        <v>358</v>
      </c>
    </row>
    <row r="17" spans="1:3" x14ac:dyDescent="0.55000000000000004">
      <c r="A17" t="s">
        <v>356</v>
      </c>
      <c r="B17" t="s">
        <v>363</v>
      </c>
      <c r="C17" t="s">
        <v>358</v>
      </c>
    </row>
    <row r="18" spans="1:3" x14ac:dyDescent="0.55000000000000004">
      <c r="A18" t="s">
        <v>366</v>
      </c>
      <c r="B18" t="s">
        <v>367</v>
      </c>
      <c r="C18" t="s">
        <v>358</v>
      </c>
    </row>
    <row r="19" spans="1:3" x14ac:dyDescent="0.55000000000000004">
      <c r="A19" t="s">
        <v>355</v>
      </c>
      <c r="B19" t="s">
        <v>364</v>
      </c>
      <c r="C19" t="s">
        <v>358</v>
      </c>
    </row>
    <row r="20" spans="1:3" x14ac:dyDescent="0.55000000000000004">
      <c r="A20" t="s">
        <v>357</v>
      </c>
      <c r="B20" t="s">
        <v>364</v>
      </c>
      <c r="C20" t="s">
        <v>358</v>
      </c>
    </row>
    <row r="21" spans="1:3" x14ac:dyDescent="0.55000000000000004">
      <c r="A21" t="s">
        <v>411</v>
      </c>
      <c r="B21" t="s">
        <v>362</v>
      </c>
      <c r="C21" t="s">
        <v>409</v>
      </c>
    </row>
    <row r="22" spans="1:3" x14ac:dyDescent="0.55000000000000004">
      <c r="A22" t="s">
        <v>419</v>
      </c>
      <c r="B22" s="2" t="s">
        <v>362</v>
      </c>
      <c r="C22" t="s">
        <v>390</v>
      </c>
    </row>
    <row r="23" spans="1:3" x14ac:dyDescent="0.55000000000000004">
      <c r="A23" t="s">
        <v>286</v>
      </c>
      <c r="B23" t="s">
        <v>362</v>
      </c>
      <c r="C23" t="s">
        <v>409</v>
      </c>
    </row>
    <row r="24" spans="1:3" x14ac:dyDescent="0.55000000000000004">
      <c r="A24" t="s">
        <v>99</v>
      </c>
      <c r="B24" s="2" t="s">
        <v>362</v>
      </c>
      <c r="C24" t="s">
        <v>390</v>
      </c>
    </row>
    <row r="25" spans="1:3" x14ac:dyDescent="0.55000000000000004">
      <c r="A25" t="s">
        <v>239</v>
      </c>
      <c r="B25" t="s">
        <v>363</v>
      </c>
      <c r="C25" t="s">
        <v>219</v>
      </c>
    </row>
    <row r="26" spans="1:3" x14ac:dyDescent="0.55000000000000004">
      <c r="A26" t="s">
        <v>240</v>
      </c>
      <c r="B26" t="s">
        <v>363</v>
      </c>
      <c r="C26" t="s">
        <v>219</v>
      </c>
    </row>
    <row r="27" spans="1:3" x14ac:dyDescent="0.55000000000000004">
      <c r="A27" t="s">
        <v>241</v>
      </c>
      <c r="B27" t="s">
        <v>363</v>
      </c>
      <c r="C27" t="s">
        <v>219</v>
      </c>
    </row>
    <row r="28" spans="1:3" x14ac:dyDescent="0.55000000000000004">
      <c r="A28" t="s">
        <v>257</v>
      </c>
      <c r="B28" t="s">
        <v>363</v>
      </c>
      <c r="C28" t="s">
        <v>219</v>
      </c>
    </row>
    <row r="29" spans="1:3" x14ac:dyDescent="0.55000000000000004">
      <c r="A29" t="s">
        <v>349</v>
      </c>
      <c r="B29" t="s">
        <v>369</v>
      </c>
      <c r="C29" t="s">
        <v>219</v>
      </c>
    </row>
    <row r="30" spans="1:3" x14ac:dyDescent="0.55000000000000004">
      <c r="A30" t="s">
        <v>368</v>
      </c>
      <c r="B30" t="s">
        <v>369</v>
      </c>
      <c r="C30" t="s">
        <v>219</v>
      </c>
    </row>
    <row r="31" spans="1:3" x14ac:dyDescent="0.55000000000000004">
      <c r="A31" t="s">
        <v>301</v>
      </c>
      <c r="B31" t="s">
        <v>364</v>
      </c>
      <c r="C31" t="s">
        <v>219</v>
      </c>
    </row>
    <row r="32" spans="1:3" x14ac:dyDescent="0.55000000000000004">
      <c r="A32" t="s">
        <v>166</v>
      </c>
      <c r="B32" t="s">
        <v>364</v>
      </c>
      <c r="C32" t="s">
        <v>219</v>
      </c>
    </row>
    <row r="33" spans="1:3" x14ac:dyDescent="0.55000000000000004">
      <c r="A33" t="s">
        <v>334</v>
      </c>
      <c r="B33" t="s">
        <v>364</v>
      </c>
      <c r="C33" t="s">
        <v>219</v>
      </c>
    </row>
    <row r="34" spans="1:3" x14ac:dyDescent="0.55000000000000004">
      <c r="A34" t="s">
        <v>339</v>
      </c>
      <c r="B34" t="s">
        <v>364</v>
      </c>
      <c r="C34" t="s">
        <v>219</v>
      </c>
    </row>
    <row r="35" spans="1:3" x14ac:dyDescent="0.55000000000000004">
      <c r="A35" t="s">
        <v>349</v>
      </c>
      <c r="B35" t="s">
        <v>371</v>
      </c>
      <c r="C35" t="s">
        <v>219</v>
      </c>
    </row>
    <row r="36" spans="1:3" x14ac:dyDescent="0.55000000000000004">
      <c r="A36" t="s">
        <v>350</v>
      </c>
      <c r="B36" t="s">
        <v>371</v>
      </c>
      <c r="C36" t="s">
        <v>219</v>
      </c>
    </row>
    <row r="37" spans="1:3" x14ac:dyDescent="0.55000000000000004">
      <c r="A37" t="s">
        <v>351</v>
      </c>
      <c r="B37" t="s">
        <v>371</v>
      </c>
      <c r="C37" t="s">
        <v>219</v>
      </c>
    </row>
    <row r="38" spans="1:3" x14ac:dyDescent="0.55000000000000004">
      <c r="A38" t="s">
        <v>370</v>
      </c>
      <c r="B38" t="s">
        <v>371</v>
      </c>
      <c r="C38" t="s">
        <v>219</v>
      </c>
    </row>
    <row r="39" spans="1:3" x14ac:dyDescent="0.55000000000000004">
      <c r="A39" t="s">
        <v>359</v>
      </c>
      <c r="B39" t="s">
        <v>371</v>
      </c>
      <c r="C39" t="s">
        <v>219</v>
      </c>
    </row>
    <row r="40" spans="1:3" x14ac:dyDescent="0.55000000000000004">
      <c r="A40" t="s">
        <v>396</v>
      </c>
      <c r="B40" t="s">
        <v>362</v>
      </c>
      <c r="C40" t="s">
        <v>393</v>
      </c>
    </row>
    <row r="41" spans="1:3" x14ac:dyDescent="0.55000000000000004">
      <c r="A41" t="s">
        <v>420</v>
      </c>
      <c r="B41" s="2" t="s">
        <v>362</v>
      </c>
      <c r="C41" t="s">
        <v>390</v>
      </c>
    </row>
    <row r="42" spans="1:3" x14ac:dyDescent="0.55000000000000004">
      <c r="A42" t="s">
        <v>87</v>
      </c>
      <c r="B42" t="s">
        <v>362</v>
      </c>
      <c r="C42" t="s">
        <v>372</v>
      </c>
    </row>
    <row r="43" spans="1:3" x14ac:dyDescent="0.55000000000000004">
      <c r="A43" t="s">
        <v>86</v>
      </c>
      <c r="B43" t="s">
        <v>362</v>
      </c>
      <c r="C43" t="s">
        <v>372</v>
      </c>
    </row>
    <row r="44" spans="1:3" x14ac:dyDescent="0.55000000000000004">
      <c r="A44" t="s">
        <v>85</v>
      </c>
      <c r="B44" t="s">
        <v>362</v>
      </c>
      <c r="C44" t="s">
        <v>372</v>
      </c>
    </row>
    <row r="45" spans="1:3" x14ac:dyDescent="0.55000000000000004">
      <c r="A45" t="s">
        <v>84</v>
      </c>
      <c r="B45" t="s">
        <v>362</v>
      </c>
      <c r="C45" t="s">
        <v>372</v>
      </c>
    </row>
    <row r="46" spans="1:3" x14ac:dyDescent="0.55000000000000004">
      <c r="A46" t="s">
        <v>83</v>
      </c>
      <c r="B46" t="s">
        <v>362</v>
      </c>
      <c r="C46" t="s">
        <v>372</v>
      </c>
    </row>
    <row r="47" spans="1:3" x14ac:dyDescent="0.55000000000000004">
      <c r="A47" t="s">
        <v>82</v>
      </c>
      <c r="B47" t="s">
        <v>362</v>
      </c>
      <c r="C47" t="s">
        <v>372</v>
      </c>
    </row>
    <row r="48" spans="1:3" x14ac:dyDescent="0.55000000000000004">
      <c r="A48" t="s">
        <v>373</v>
      </c>
      <c r="B48" t="s">
        <v>363</v>
      </c>
      <c r="C48" t="s">
        <v>372</v>
      </c>
    </row>
    <row r="49" spans="1:3" x14ac:dyDescent="0.55000000000000004">
      <c r="A49" t="s">
        <v>245</v>
      </c>
      <c r="B49" t="s">
        <v>363</v>
      </c>
      <c r="C49" t="s">
        <v>372</v>
      </c>
    </row>
    <row r="50" spans="1:3" x14ac:dyDescent="0.55000000000000004">
      <c r="A50" t="s">
        <v>374</v>
      </c>
      <c r="B50" t="s">
        <v>363</v>
      </c>
      <c r="C50" t="s">
        <v>372</v>
      </c>
    </row>
    <row r="51" spans="1:3" x14ac:dyDescent="0.55000000000000004">
      <c r="A51" t="s">
        <v>375</v>
      </c>
      <c r="B51" t="s">
        <v>363</v>
      </c>
      <c r="C51" t="s">
        <v>372</v>
      </c>
    </row>
    <row r="52" spans="1:3" x14ac:dyDescent="0.55000000000000004">
      <c r="A52" t="s">
        <v>376</v>
      </c>
      <c r="B52" t="s">
        <v>363</v>
      </c>
      <c r="C52" t="s">
        <v>372</v>
      </c>
    </row>
    <row r="53" spans="1:3" x14ac:dyDescent="0.55000000000000004">
      <c r="A53" t="s">
        <v>254</v>
      </c>
      <c r="B53" t="s">
        <v>363</v>
      </c>
      <c r="C53" t="s">
        <v>372</v>
      </c>
    </row>
    <row r="54" spans="1:3" x14ac:dyDescent="0.55000000000000004">
      <c r="A54" t="s">
        <v>377</v>
      </c>
      <c r="B54" t="s">
        <v>363</v>
      </c>
      <c r="C54" t="s">
        <v>372</v>
      </c>
    </row>
    <row r="55" spans="1:3" x14ac:dyDescent="0.55000000000000004">
      <c r="A55" t="s">
        <v>258</v>
      </c>
      <c r="B55" t="s">
        <v>363</v>
      </c>
      <c r="C55" t="s">
        <v>372</v>
      </c>
    </row>
    <row r="56" spans="1:3" x14ac:dyDescent="0.55000000000000004">
      <c r="A56" t="s">
        <v>378</v>
      </c>
      <c r="B56" t="s">
        <v>363</v>
      </c>
      <c r="C56" t="s">
        <v>372</v>
      </c>
    </row>
    <row r="57" spans="1:3" x14ac:dyDescent="0.55000000000000004">
      <c r="A57" t="s">
        <v>260</v>
      </c>
      <c r="B57" t="s">
        <v>363</v>
      </c>
      <c r="C57" t="s">
        <v>372</v>
      </c>
    </row>
    <row r="58" spans="1:3" x14ac:dyDescent="0.55000000000000004">
      <c r="A58" t="s">
        <v>379</v>
      </c>
      <c r="B58" t="s">
        <v>363</v>
      </c>
      <c r="C58" t="s">
        <v>372</v>
      </c>
    </row>
    <row r="59" spans="1:3" x14ac:dyDescent="0.55000000000000004">
      <c r="A59" t="s">
        <v>209</v>
      </c>
      <c r="B59" t="s">
        <v>367</v>
      </c>
      <c r="C59" t="s">
        <v>372</v>
      </c>
    </row>
    <row r="60" spans="1:3" x14ac:dyDescent="0.55000000000000004">
      <c r="A60" t="s">
        <v>163</v>
      </c>
      <c r="B60" t="s">
        <v>364</v>
      </c>
      <c r="C60" t="s">
        <v>372</v>
      </c>
    </row>
    <row r="61" spans="1:3" x14ac:dyDescent="0.55000000000000004">
      <c r="A61" t="s">
        <v>156</v>
      </c>
      <c r="B61" t="s">
        <v>364</v>
      </c>
      <c r="C61" t="s">
        <v>372</v>
      </c>
    </row>
    <row r="62" spans="1:3" x14ac:dyDescent="0.55000000000000004">
      <c r="A62" t="s">
        <v>173</v>
      </c>
      <c r="B62" t="s">
        <v>364</v>
      </c>
      <c r="C62" t="s">
        <v>372</v>
      </c>
    </row>
    <row r="63" spans="1:3" x14ac:dyDescent="0.55000000000000004">
      <c r="A63" t="s">
        <v>174</v>
      </c>
      <c r="B63" t="s">
        <v>364</v>
      </c>
      <c r="C63" t="s">
        <v>372</v>
      </c>
    </row>
    <row r="64" spans="1:3" x14ac:dyDescent="0.55000000000000004">
      <c r="A64" t="s">
        <v>171</v>
      </c>
      <c r="B64" t="s">
        <v>364</v>
      </c>
      <c r="C64" t="s">
        <v>372</v>
      </c>
    </row>
    <row r="65" spans="1:3" x14ac:dyDescent="0.55000000000000004">
      <c r="A65" t="s">
        <v>172</v>
      </c>
      <c r="B65" t="s">
        <v>364</v>
      </c>
      <c r="C65" t="s">
        <v>372</v>
      </c>
    </row>
    <row r="66" spans="1:3" x14ac:dyDescent="0.55000000000000004">
      <c r="A66" t="s">
        <v>157</v>
      </c>
      <c r="B66" t="s">
        <v>364</v>
      </c>
      <c r="C66" t="s">
        <v>372</v>
      </c>
    </row>
    <row r="67" spans="1:3" x14ac:dyDescent="0.55000000000000004">
      <c r="A67" t="s">
        <v>159</v>
      </c>
      <c r="B67" t="s">
        <v>364</v>
      </c>
      <c r="C67" t="s">
        <v>372</v>
      </c>
    </row>
    <row r="68" spans="1:3" x14ac:dyDescent="0.55000000000000004">
      <c r="A68" t="s">
        <v>160</v>
      </c>
      <c r="B68" t="s">
        <v>364</v>
      </c>
      <c r="C68" t="s">
        <v>372</v>
      </c>
    </row>
    <row r="69" spans="1:3" x14ac:dyDescent="0.55000000000000004">
      <c r="A69" t="s">
        <v>328</v>
      </c>
      <c r="B69" t="s">
        <v>364</v>
      </c>
      <c r="C69" t="s">
        <v>372</v>
      </c>
    </row>
    <row r="70" spans="1:3" x14ac:dyDescent="0.55000000000000004">
      <c r="A70" t="s">
        <v>214</v>
      </c>
      <c r="B70" t="s">
        <v>364</v>
      </c>
      <c r="C70" t="s">
        <v>372</v>
      </c>
    </row>
    <row r="71" spans="1:3" x14ac:dyDescent="0.55000000000000004">
      <c r="A71" t="s">
        <v>333</v>
      </c>
      <c r="B71" t="s">
        <v>364</v>
      </c>
      <c r="C71" t="s">
        <v>372</v>
      </c>
    </row>
    <row r="72" spans="1:3" x14ac:dyDescent="0.55000000000000004">
      <c r="A72" t="s">
        <v>380</v>
      </c>
      <c r="B72" t="s">
        <v>364</v>
      </c>
      <c r="C72" t="s">
        <v>372</v>
      </c>
    </row>
    <row r="73" spans="1:3" x14ac:dyDescent="0.55000000000000004">
      <c r="A73" t="s">
        <v>381</v>
      </c>
      <c r="B73" t="s">
        <v>364</v>
      </c>
      <c r="C73" t="s">
        <v>372</v>
      </c>
    </row>
    <row r="74" spans="1:3" x14ac:dyDescent="0.55000000000000004">
      <c r="A74" t="s">
        <v>382</v>
      </c>
      <c r="B74" t="s">
        <v>364</v>
      </c>
      <c r="C74" t="s">
        <v>372</v>
      </c>
    </row>
    <row r="75" spans="1:3" x14ac:dyDescent="0.55000000000000004">
      <c r="A75" t="s">
        <v>383</v>
      </c>
      <c r="B75" t="s">
        <v>364</v>
      </c>
      <c r="C75" t="s">
        <v>372</v>
      </c>
    </row>
    <row r="76" spans="1:3" x14ac:dyDescent="0.55000000000000004">
      <c r="A76" t="s">
        <v>81</v>
      </c>
      <c r="B76" t="s">
        <v>362</v>
      </c>
      <c r="C76" t="s">
        <v>409</v>
      </c>
    </row>
    <row r="77" spans="1:3" x14ac:dyDescent="0.55000000000000004">
      <c r="A77" t="s">
        <v>80</v>
      </c>
      <c r="B77" t="s">
        <v>362</v>
      </c>
      <c r="C77" t="s">
        <v>358</v>
      </c>
    </row>
    <row r="78" spans="1:3" x14ac:dyDescent="0.55000000000000004">
      <c r="A78" t="s">
        <v>79</v>
      </c>
      <c r="B78" t="s">
        <v>362</v>
      </c>
      <c r="C78" t="s">
        <v>372</v>
      </c>
    </row>
    <row r="79" spans="1:3" x14ac:dyDescent="0.55000000000000004">
      <c r="A79" t="s">
        <v>336</v>
      </c>
      <c r="B79" t="s">
        <v>364</v>
      </c>
      <c r="C79" t="s">
        <v>384</v>
      </c>
    </row>
    <row r="80" spans="1:3" x14ac:dyDescent="0.55000000000000004">
      <c r="A80" t="s">
        <v>386</v>
      </c>
      <c r="B80" t="s">
        <v>364</v>
      </c>
      <c r="C80" t="s">
        <v>384</v>
      </c>
    </row>
    <row r="81" spans="1:3" x14ac:dyDescent="0.55000000000000004">
      <c r="A81" t="s">
        <v>387</v>
      </c>
      <c r="B81" t="s">
        <v>364</v>
      </c>
      <c r="C81" t="s">
        <v>384</v>
      </c>
    </row>
    <row r="82" spans="1:3" x14ac:dyDescent="0.55000000000000004">
      <c r="A82" t="s">
        <v>388</v>
      </c>
      <c r="B82" t="s">
        <v>364</v>
      </c>
      <c r="C82" t="s">
        <v>384</v>
      </c>
    </row>
    <row r="83" spans="1:3" x14ac:dyDescent="0.55000000000000004">
      <c r="A83" t="s">
        <v>389</v>
      </c>
      <c r="B83" t="s">
        <v>364</v>
      </c>
      <c r="C83" t="s">
        <v>384</v>
      </c>
    </row>
    <row r="84" spans="1:3" x14ac:dyDescent="0.55000000000000004">
      <c r="A84" t="s">
        <v>191</v>
      </c>
      <c r="B84" t="s">
        <v>362</v>
      </c>
      <c r="C84" t="s">
        <v>372</v>
      </c>
    </row>
    <row r="85" spans="1:3" x14ac:dyDescent="0.55000000000000004">
      <c r="A85" t="s">
        <v>69</v>
      </c>
      <c r="B85" t="s">
        <v>362</v>
      </c>
      <c r="C85" t="s">
        <v>409</v>
      </c>
    </row>
    <row r="86" spans="1:3" x14ac:dyDescent="0.55000000000000004">
      <c r="A86" t="s">
        <v>410</v>
      </c>
      <c r="B86" t="s">
        <v>362</v>
      </c>
      <c r="C86" t="s">
        <v>409</v>
      </c>
    </row>
    <row r="87" spans="1:3" x14ac:dyDescent="0.55000000000000004">
      <c r="A87" t="s">
        <v>67</v>
      </c>
      <c r="B87" t="s">
        <v>362</v>
      </c>
      <c r="C87" t="s">
        <v>409</v>
      </c>
    </row>
    <row r="88" spans="1:3" x14ac:dyDescent="0.55000000000000004">
      <c r="A88" t="s">
        <v>263</v>
      </c>
      <c r="B88" t="s">
        <v>363</v>
      </c>
      <c r="C88" t="s">
        <v>393</v>
      </c>
    </row>
    <row r="89" spans="1:3" x14ac:dyDescent="0.55000000000000004">
      <c r="A89" t="s">
        <v>265</v>
      </c>
      <c r="B89" t="s">
        <v>363</v>
      </c>
      <c r="C89" t="s">
        <v>393</v>
      </c>
    </row>
    <row r="90" spans="1:3" x14ac:dyDescent="0.55000000000000004">
      <c r="A90" t="s">
        <v>266</v>
      </c>
      <c r="B90" t="s">
        <v>363</v>
      </c>
      <c r="C90" t="s">
        <v>393</v>
      </c>
    </row>
    <row r="91" spans="1:3" x14ac:dyDescent="0.55000000000000004">
      <c r="A91" t="s">
        <v>267</v>
      </c>
      <c r="B91" t="s">
        <v>363</v>
      </c>
      <c r="C91" t="s">
        <v>393</v>
      </c>
    </row>
    <row r="92" spans="1:3" x14ac:dyDescent="0.55000000000000004">
      <c r="A92" t="s">
        <v>398</v>
      </c>
      <c r="B92" t="s">
        <v>363</v>
      </c>
      <c r="C92" t="s">
        <v>393</v>
      </c>
    </row>
    <row r="93" spans="1:3" x14ac:dyDescent="0.55000000000000004">
      <c r="A93" t="s">
        <v>399</v>
      </c>
      <c r="B93" t="s">
        <v>363</v>
      </c>
      <c r="C93" t="s">
        <v>393</v>
      </c>
    </row>
    <row r="94" spans="1:3" x14ac:dyDescent="0.55000000000000004">
      <c r="A94" t="s">
        <v>270</v>
      </c>
      <c r="B94" t="s">
        <v>363</v>
      </c>
      <c r="C94" t="s">
        <v>393</v>
      </c>
    </row>
    <row r="95" spans="1:3" x14ac:dyDescent="0.55000000000000004">
      <c r="A95" t="s">
        <v>400</v>
      </c>
      <c r="B95" t="s">
        <v>363</v>
      </c>
      <c r="C95" t="s">
        <v>393</v>
      </c>
    </row>
    <row r="96" spans="1:3" x14ac:dyDescent="0.55000000000000004">
      <c r="A96" t="s">
        <v>272</v>
      </c>
      <c r="B96" t="s">
        <v>363</v>
      </c>
      <c r="C96" t="s">
        <v>393</v>
      </c>
    </row>
    <row r="97" spans="1:3" x14ac:dyDescent="0.55000000000000004">
      <c r="A97" t="s">
        <v>401</v>
      </c>
      <c r="B97" t="s">
        <v>363</v>
      </c>
      <c r="C97" t="s">
        <v>393</v>
      </c>
    </row>
    <row r="98" spans="1:3" x14ac:dyDescent="0.55000000000000004">
      <c r="A98" t="s">
        <v>402</v>
      </c>
      <c r="B98" t="s">
        <v>363</v>
      </c>
      <c r="C98" t="s">
        <v>393</v>
      </c>
    </row>
    <row r="99" spans="1:3" x14ac:dyDescent="0.55000000000000004">
      <c r="A99" t="s">
        <v>403</v>
      </c>
      <c r="B99" t="s">
        <v>363</v>
      </c>
      <c r="C99" t="s">
        <v>393</v>
      </c>
    </row>
    <row r="100" spans="1:3" x14ac:dyDescent="0.55000000000000004">
      <c r="A100" t="s">
        <v>404</v>
      </c>
      <c r="B100" t="s">
        <v>363</v>
      </c>
      <c r="C100" t="s">
        <v>393</v>
      </c>
    </row>
    <row r="101" spans="1:3" x14ac:dyDescent="0.55000000000000004">
      <c r="A101" t="s">
        <v>405</v>
      </c>
      <c r="B101" t="s">
        <v>363</v>
      </c>
      <c r="C101" t="s">
        <v>393</v>
      </c>
    </row>
    <row r="102" spans="1:3" x14ac:dyDescent="0.55000000000000004">
      <c r="A102" t="s">
        <v>406</v>
      </c>
      <c r="B102" t="s">
        <v>363</v>
      </c>
      <c r="C102" t="s">
        <v>393</v>
      </c>
    </row>
    <row r="103" spans="1:3" x14ac:dyDescent="0.55000000000000004">
      <c r="A103" t="s">
        <v>407</v>
      </c>
      <c r="B103" t="s">
        <v>369</v>
      </c>
      <c r="C103" t="s">
        <v>393</v>
      </c>
    </row>
    <row r="104" spans="1:3" x14ac:dyDescent="0.55000000000000004">
      <c r="A104" t="s">
        <v>391</v>
      </c>
      <c r="B104" t="s">
        <v>369</v>
      </c>
      <c r="C104" t="s">
        <v>393</v>
      </c>
    </row>
    <row r="105" spans="1:3" x14ac:dyDescent="0.55000000000000004">
      <c r="A105" t="s">
        <v>237</v>
      </c>
      <c r="B105" t="s">
        <v>364</v>
      </c>
      <c r="C105" t="s">
        <v>393</v>
      </c>
    </row>
    <row r="106" spans="1:3" x14ac:dyDescent="0.55000000000000004">
      <c r="A106" t="s">
        <v>408</v>
      </c>
      <c r="B106" t="s">
        <v>371</v>
      </c>
      <c r="C106" t="s">
        <v>393</v>
      </c>
    </row>
    <row r="107" spans="1:3" x14ac:dyDescent="0.55000000000000004">
      <c r="A107" t="s">
        <v>392</v>
      </c>
      <c r="B107" t="s">
        <v>371</v>
      </c>
      <c r="C107" t="s">
        <v>393</v>
      </c>
    </row>
    <row r="108" spans="1:3" x14ac:dyDescent="0.55000000000000004">
      <c r="A108" t="s">
        <v>60</v>
      </c>
      <c r="B108" t="s">
        <v>362</v>
      </c>
      <c r="C108" t="s">
        <v>219</v>
      </c>
    </row>
    <row r="109" spans="1:3" x14ac:dyDescent="0.55000000000000004">
      <c r="A109" t="s">
        <v>62</v>
      </c>
      <c r="B109" t="s">
        <v>362</v>
      </c>
      <c r="C109" t="s">
        <v>219</v>
      </c>
    </row>
    <row r="110" spans="1:3" x14ac:dyDescent="0.55000000000000004">
      <c r="A110" t="s">
        <v>61</v>
      </c>
      <c r="B110" t="s">
        <v>362</v>
      </c>
      <c r="C110" t="s">
        <v>219</v>
      </c>
    </row>
    <row r="111" spans="1:3" x14ac:dyDescent="0.55000000000000004">
      <c r="A111" t="s">
        <v>59</v>
      </c>
      <c r="B111" t="s">
        <v>362</v>
      </c>
      <c r="C111" t="s">
        <v>219</v>
      </c>
    </row>
    <row r="112" spans="1:3" x14ac:dyDescent="0.55000000000000004">
      <c r="A112" t="s">
        <v>74</v>
      </c>
      <c r="B112" t="s">
        <v>362</v>
      </c>
      <c r="C112" t="s">
        <v>354</v>
      </c>
    </row>
    <row r="113" spans="1:3" x14ac:dyDescent="0.55000000000000004">
      <c r="A113" t="s">
        <v>395</v>
      </c>
      <c r="B113" t="s">
        <v>362</v>
      </c>
      <c r="C113" t="s">
        <v>393</v>
      </c>
    </row>
    <row r="114" spans="1:3" x14ac:dyDescent="0.55000000000000004">
      <c r="A114" t="s">
        <v>412</v>
      </c>
      <c r="B114" t="s">
        <v>363</v>
      </c>
      <c r="C114" t="s">
        <v>409</v>
      </c>
    </row>
    <row r="115" spans="1:3" x14ac:dyDescent="0.55000000000000004">
      <c r="A115" t="s">
        <v>250</v>
      </c>
      <c r="B115" t="s">
        <v>363</v>
      </c>
      <c r="C115" t="s">
        <v>409</v>
      </c>
    </row>
    <row r="116" spans="1:3" x14ac:dyDescent="0.55000000000000004">
      <c r="A116" t="s">
        <v>251</v>
      </c>
      <c r="B116" t="s">
        <v>363</v>
      </c>
      <c r="C116" t="s">
        <v>409</v>
      </c>
    </row>
    <row r="117" spans="1:3" x14ac:dyDescent="0.55000000000000004">
      <c r="A117" t="s">
        <v>413</v>
      </c>
      <c r="B117" t="s">
        <v>363</v>
      </c>
      <c r="C117" t="s">
        <v>409</v>
      </c>
    </row>
    <row r="118" spans="1:3" x14ac:dyDescent="0.55000000000000004">
      <c r="A118" t="s">
        <v>242</v>
      </c>
      <c r="B118" t="s">
        <v>363</v>
      </c>
      <c r="C118" t="s">
        <v>409</v>
      </c>
    </row>
    <row r="119" spans="1:3" x14ac:dyDescent="0.55000000000000004">
      <c r="A119" t="s">
        <v>414</v>
      </c>
      <c r="B119" t="s">
        <v>369</v>
      </c>
      <c r="C119" t="s">
        <v>409</v>
      </c>
    </row>
    <row r="120" spans="1:3" x14ac:dyDescent="0.55000000000000004">
      <c r="A120" t="s">
        <v>210</v>
      </c>
      <c r="B120" t="s">
        <v>367</v>
      </c>
      <c r="C120" t="s">
        <v>409</v>
      </c>
    </row>
    <row r="121" spans="1:3" x14ac:dyDescent="0.55000000000000004">
      <c r="A121" t="s">
        <v>415</v>
      </c>
      <c r="B121" s="2" t="s">
        <v>364</v>
      </c>
      <c r="C121" t="s">
        <v>409</v>
      </c>
    </row>
    <row r="122" spans="1:3" x14ac:dyDescent="0.55000000000000004">
      <c r="A122" t="s">
        <v>218</v>
      </c>
      <c r="B122" s="2" t="s">
        <v>364</v>
      </c>
      <c r="C122" t="s">
        <v>409</v>
      </c>
    </row>
    <row r="123" spans="1:3" x14ac:dyDescent="0.55000000000000004">
      <c r="A123" t="s">
        <v>416</v>
      </c>
      <c r="B123" s="2" t="s">
        <v>364</v>
      </c>
      <c r="C123" t="s">
        <v>409</v>
      </c>
    </row>
    <row r="124" spans="1:3" x14ac:dyDescent="0.55000000000000004">
      <c r="A124" t="s">
        <v>417</v>
      </c>
      <c r="B124" s="2" t="s">
        <v>364</v>
      </c>
      <c r="C124" t="s">
        <v>409</v>
      </c>
    </row>
    <row r="125" spans="1:3" x14ac:dyDescent="0.55000000000000004">
      <c r="A125" s="1" t="s">
        <v>418</v>
      </c>
      <c r="B125" s="2" t="s">
        <v>364</v>
      </c>
      <c r="C125" t="s">
        <v>409</v>
      </c>
    </row>
    <row r="126" spans="1:3" x14ac:dyDescent="0.55000000000000004">
      <c r="A126" t="s">
        <v>56</v>
      </c>
      <c r="B126" t="s">
        <v>362</v>
      </c>
      <c r="C126" t="s">
        <v>354</v>
      </c>
    </row>
    <row r="127" spans="1:3" x14ac:dyDescent="0.55000000000000004">
      <c r="A127" t="s">
        <v>394</v>
      </c>
      <c r="B127" t="s">
        <v>362</v>
      </c>
      <c r="C127" t="s">
        <v>393</v>
      </c>
    </row>
    <row r="128" spans="1:3" x14ac:dyDescent="0.55000000000000004">
      <c r="A128" t="s">
        <v>365</v>
      </c>
      <c r="B128" t="s">
        <v>362</v>
      </c>
      <c r="C128" t="s">
        <v>358</v>
      </c>
    </row>
    <row r="129" spans="1:3" x14ac:dyDescent="0.55000000000000004">
      <c r="A129" t="s">
        <v>55</v>
      </c>
      <c r="B129" t="s">
        <v>362</v>
      </c>
      <c r="C129" t="s">
        <v>354</v>
      </c>
    </row>
    <row r="130" spans="1:3" x14ac:dyDescent="0.55000000000000004">
      <c r="A130" t="s">
        <v>274</v>
      </c>
      <c r="B130" s="2" t="s">
        <v>363</v>
      </c>
      <c r="C130" t="s">
        <v>390</v>
      </c>
    </row>
    <row r="131" spans="1:3" x14ac:dyDescent="0.55000000000000004">
      <c r="A131" t="s">
        <v>421</v>
      </c>
      <c r="B131" s="2" t="s">
        <v>363</v>
      </c>
      <c r="C131" t="s">
        <v>390</v>
      </c>
    </row>
    <row r="132" spans="1:3" x14ac:dyDescent="0.55000000000000004">
      <c r="A132" t="s">
        <v>276</v>
      </c>
      <c r="B132" s="2" t="s">
        <v>363</v>
      </c>
      <c r="C132" t="s">
        <v>390</v>
      </c>
    </row>
    <row r="133" spans="1:3" x14ac:dyDescent="0.55000000000000004">
      <c r="A133" t="s">
        <v>422</v>
      </c>
      <c r="B133" s="2" t="s">
        <v>363</v>
      </c>
      <c r="C133" t="s">
        <v>390</v>
      </c>
    </row>
    <row r="134" spans="1:3" x14ac:dyDescent="0.55000000000000004">
      <c r="A134" t="s">
        <v>423</v>
      </c>
      <c r="B134" s="2" t="s">
        <v>363</v>
      </c>
      <c r="C134" t="s">
        <v>390</v>
      </c>
    </row>
    <row r="135" spans="1:3" x14ac:dyDescent="0.55000000000000004">
      <c r="A135" t="s">
        <v>424</v>
      </c>
      <c r="B135" s="2" t="s">
        <v>363</v>
      </c>
      <c r="C135" t="s">
        <v>390</v>
      </c>
    </row>
    <row r="136" spans="1:3" x14ac:dyDescent="0.55000000000000004">
      <c r="A136" t="s">
        <v>425</v>
      </c>
      <c r="B136" s="2" t="s">
        <v>363</v>
      </c>
      <c r="C136" t="s">
        <v>390</v>
      </c>
    </row>
    <row r="137" spans="1:3" x14ac:dyDescent="0.55000000000000004">
      <c r="A137" t="s">
        <v>426</v>
      </c>
      <c r="B137" s="2" t="s">
        <v>363</v>
      </c>
      <c r="C137" t="s">
        <v>390</v>
      </c>
    </row>
  </sheetData>
  <autoFilter ref="A1:C137" xr:uid="{012328E7-60E0-422B-BA52-2121586B4F98}">
    <sortState xmlns:xlrd2="http://schemas.microsoft.com/office/spreadsheetml/2017/richdata2" ref="A2:C129">
      <sortCondition descending="1" ref="A1:A137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1B02-88B3-4A21-B647-AB517A37F729}">
  <sheetPr codeName="Sheet2"/>
  <dimension ref="A1:I750"/>
  <sheetViews>
    <sheetView topLeftCell="D1" workbookViewId="0">
      <selection activeCell="H2" sqref="H2"/>
    </sheetView>
  </sheetViews>
  <sheetFormatPr defaultRowHeight="14.4" x14ac:dyDescent="0.55000000000000004"/>
  <cols>
    <col min="2" max="2" width="17.26171875" customWidth="1"/>
    <col min="3" max="3" width="30.05078125" customWidth="1"/>
    <col min="4" max="4" width="45.26171875" customWidth="1"/>
    <col min="5" max="5" width="11.20703125" customWidth="1"/>
    <col min="7" max="7" width="43.83984375" style="11" customWidth="1"/>
    <col min="8" max="8" width="19.15625" style="11" customWidth="1"/>
    <col min="9" max="9" width="21.5234375" style="12" customWidth="1"/>
  </cols>
  <sheetData>
    <row r="1" spans="1:9" x14ac:dyDescent="0.55000000000000004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s="11" t="s">
        <v>427</v>
      </c>
      <c r="H1" s="11" t="s">
        <v>428</v>
      </c>
      <c r="I1" s="12" t="s">
        <v>429</v>
      </c>
    </row>
    <row r="2" spans="1:9" x14ac:dyDescent="0.55000000000000004">
      <c r="A2">
        <v>2016</v>
      </c>
      <c r="B2" t="s">
        <v>103</v>
      </c>
      <c r="C2" t="s">
        <v>128</v>
      </c>
      <c r="D2" t="s">
        <v>196</v>
      </c>
      <c r="E2">
        <v>98.5</v>
      </c>
      <c r="F2">
        <v>96</v>
      </c>
      <c r="G2" s="11" t="str" cm="1">
        <f t="array" ref="G2">TRIM(RemoveSpecial(D2))</f>
        <v>Accountancy</v>
      </c>
      <c r="H2" s="11" t="e">
        <f>VLOOKUP(G2,'course-cluster'!$A$2:$C$137,3, FALSE)</f>
        <v>#N/A</v>
      </c>
      <c r="I2" s="12" t="s">
        <v>219</v>
      </c>
    </row>
    <row r="3" spans="1:9" x14ac:dyDescent="0.55000000000000004">
      <c r="A3">
        <v>2017</v>
      </c>
      <c r="B3" t="s">
        <v>103</v>
      </c>
      <c r="C3" t="s">
        <v>104</v>
      </c>
      <c r="D3" t="s">
        <v>196</v>
      </c>
      <c r="E3">
        <v>98</v>
      </c>
      <c r="F3">
        <v>96.6</v>
      </c>
      <c r="G3" s="11" t="str" cm="1">
        <f t="array" ref="G3">TRIM(RemoveSpecial(D3))</f>
        <v>Accountancy</v>
      </c>
      <c r="H3" s="11" t="e">
        <f>VLOOKUP(G3,'course-cluster'!$A$2:$C$137,3, FALSE)</f>
        <v>#N/A</v>
      </c>
      <c r="I3" s="12" t="s">
        <v>219</v>
      </c>
    </row>
    <row r="4" spans="1:9" x14ac:dyDescent="0.55000000000000004">
      <c r="A4">
        <v>2019</v>
      </c>
      <c r="B4" t="s">
        <v>12</v>
      </c>
      <c r="C4" t="s">
        <v>13</v>
      </c>
      <c r="D4" t="s">
        <v>476</v>
      </c>
      <c r="E4">
        <v>97.5</v>
      </c>
      <c r="F4">
        <v>94</v>
      </c>
      <c r="G4" s="11" t="str" cm="1">
        <f t="array" ref="G4">TRIM(RemoveSpecial(D4))</f>
        <v>Accountancy</v>
      </c>
      <c r="H4" s="11" t="e">
        <f>VLOOKUP(G4,'course-cluster'!$A$2:$C$137,3, FALSE)</f>
        <v>#N/A</v>
      </c>
      <c r="I4" s="12" t="s">
        <v>219</v>
      </c>
    </row>
    <row r="5" spans="1:9" x14ac:dyDescent="0.55000000000000004">
      <c r="A5">
        <v>2015</v>
      </c>
      <c r="B5" t="s">
        <v>103</v>
      </c>
      <c r="C5" t="s">
        <v>128</v>
      </c>
      <c r="D5" t="s">
        <v>196</v>
      </c>
      <c r="E5">
        <v>97.3</v>
      </c>
      <c r="F5">
        <v>93</v>
      </c>
      <c r="G5" s="11" t="str" cm="1">
        <f t="array" ref="G5">TRIM(RemoveSpecial(D5))</f>
        <v>Accountancy</v>
      </c>
      <c r="H5" s="11" t="e">
        <f>VLOOKUP(G5,'course-cluster'!$A$2:$C$137,3, FALSE)</f>
        <v>#N/A</v>
      </c>
      <c r="I5" s="12" t="s">
        <v>219</v>
      </c>
    </row>
    <row r="6" spans="1:9" x14ac:dyDescent="0.55000000000000004">
      <c r="A6">
        <v>2016</v>
      </c>
      <c r="B6" t="s">
        <v>12</v>
      </c>
      <c r="C6" t="s">
        <v>13</v>
      </c>
      <c r="D6" t="s">
        <v>196</v>
      </c>
      <c r="E6">
        <v>97.3</v>
      </c>
      <c r="F6">
        <v>95.1</v>
      </c>
      <c r="G6" s="11" t="str" cm="1">
        <f t="array" ref="G6">TRIM(RemoveSpecial(D6))</f>
        <v>Accountancy</v>
      </c>
      <c r="H6" s="11" t="e">
        <f>VLOOKUP(G6,'course-cluster'!$A$2:$C$137,3, FALSE)</f>
        <v>#N/A</v>
      </c>
      <c r="I6" s="12" t="s">
        <v>219</v>
      </c>
    </row>
    <row r="7" spans="1:9" x14ac:dyDescent="0.55000000000000004">
      <c r="A7">
        <v>2018</v>
      </c>
      <c r="B7" t="s">
        <v>103</v>
      </c>
      <c r="C7" t="s">
        <v>128</v>
      </c>
      <c r="D7" t="s">
        <v>196</v>
      </c>
      <c r="E7">
        <v>96.4</v>
      </c>
      <c r="F7">
        <v>92.3</v>
      </c>
      <c r="G7" s="11" t="str" cm="1">
        <f t="array" ref="G7">TRIM(RemoveSpecial(D7))</f>
        <v>Accountancy</v>
      </c>
      <c r="H7" s="11" t="e">
        <f>VLOOKUP(G7,'course-cluster'!$A$2:$C$137,3, FALSE)</f>
        <v>#N/A</v>
      </c>
      <c r="I7" s="12" t="s">
        <v>219</v>
      </c>
    </row>
    <row r="8" spans="1:9" x14ac:dyDescent="0.55000000000000004">
      <c r="A8">
        <v>2014</v>
      </c>
      <c r="B8" t="s">
        <v>146</v>
      </c>
      <c r="C8" t="s">
        <v>147</v>
      </c>
      <c r="D8" t="s">
        <v>148</v>
      </c>
      <c r="E8">
        <v>100</v>
      </c>
      <c r="F8">
        <v>86.7</v>
      </c>
      <c r="G8" s="11" t="str" cm="1">
        <f t="array" ref="G8">TRIM(RemoveSpecial(D8))</f>
        <v>Bachelor of Arts in Game Design</v>
      </c>
      <c r="H8" s="11" t="str">
        <f>VLOOKUP(G8,'course-cluster'!$A$2:$C$137,3, FALSE)</f>
        <v>Arts, Design &amp; Media</v>
      </c>
      <c r="I8" s="12" t="s">
        <v>354</v>
      </c>
    </row>
    <row r="9" spans="1:9" x14ac:dyDescent="0.55000000000000004">
      <c r="A9">
        <v>2019</v>
      </c>
      <c r="B9" t="s">
        <v>103</v>
      </c>
      <c r="C9" t="s">
        <v>515</v>
      </c>
      <c r="D9" t="s">
        <v>476</v>
      </c>
      <c r="E9">
        <v>96.399999999999991</v>
      </c>
      <c r="F9">
        <v>93.7</v>
      </c>
      <c r="G9" s="11" t="str" cm="1">
        <f t="array" ref="G9">TRIM(RemoveSpecial(D9))</f>
        <v>Accountancy</v>
      </c>
      <c r="H9" s="11" t="e">
        <f>VLOOKUP(G9,'course-cluster'!$A$2:$C$137,3, FALSE)</f>
        <v>#N/A</v>
      </c>
      <c r="I9" s="12" t="s">
        <v>219</v>
      </c>
    </row>
    <row r="10" spans="1:9" x14ac:dyDescent="0.55000000000000004">
      <c r="A10">
        <v>2016</v>
      </c>
      <c r="B10" t="s">
        <v>146</v>
      </c>
      <c r="C10" t="s">
        <v>152</v>
      </c>
      <c r="D10" t="s">
        <v>154</v>
      </c>
      <c r="E10">
        <v>97.4</v>
      </c>
      <c r="F10">
        <v>76.3</v>
      </c>
      <c r="G10" s="11" t="str" cm="1">
        <f t="array" ref="G10">TRIM(RemoveSpecial(D10))</f>
        <v>Bachelor of Arts with Honours in Interior Design</v>
      </c>
      <c r="H10" s="11" t="str">
        <f>VLOOKUP(G10,'course-cluster'!$A$2:$C$137,3, FALSE)</f>
        <v>Arts, Design &amp; Media</v>
      </c>
      <c r="I10" s="12" t="s">
        <v>354</v>
      </c>
    </row>
    <row r="11" spans="1:9" x14ac:dyDescent="0.55000000000000004">
      <c r="A11">
        <v>2017</v>
      </c>
      <c r="B11" t="s">
        <v>146</v>
      </c>
      <c r="C11" t="s">
        <v>147</v>
      </c>
      <c r="D11" t="s">
        <v>293</v>
      </c>
      <c r="E11">
        <v>96.2</v>
      </c>
      <c r="F11">
        <v>92.3</v>
      </c>
      <c r="G11" s="11" t="str" cm="1">
        <f t="array" ref="G11">TRIM(RemoveSpecial(D11))</f>
        <v>Bachelor of Arts in Game Design</v>
      </c>
      <c r="H11" s="11" t="str">
        <f>VLOOKUP(G11,'course-cluster'!$A$2:$C$137,3, FALSE)</f>
        <v>Arts, Design &amp; Media</v>
      </c>
      <c r="I11" s="12" t="s">
        <v>354</v>
      </c>
    </row>
    <row r="12" spans="1:9" x14ac:dyDescent="0.55000000000000004">
      <c r="A12">
        <v>2018</v>
      </c>
      <c r="B12" t="s">
        <v>12</v>
      </c>
      <c r="C12" t="s">
        <v>13</v>
      </c>
      <c r="D12" t="s">
        <v>196</v>
      </c>
      <c r="E12">
        <v>94.6</v>
      </c>
      <c r="F12">
        <v>92.2</v>
      </c>
      <c r="G12" s="11" t="str" cm="1">
        <f t="array" ref="G12">TRIM(RemoveSpecial(D12))</f>
        <v>Accountancy</v>
      </c>
      <c r="H12" s="11" t="e">
        <f>VLOOKUP(G12,'course-cluster'!$A$2:$C$137,3, FALSE)</f>
        <v>#N/A</v>
      </c>
      <c r="I12" s="12" t="s">
        <v>219</v>
      </c>
    </row>
    <row r="13" spans="1:9" x14ac:dyDescent="0.55000000000000004">
      <c r="A13">
        <v>2014</v>
      </c>
      <c r="B13" t="s">
        <v>146</v>
      </c>
      <c r="C13" t="s">
        <v>152</v>
      </c>
      <c r="D13" t="s">
        <v>154</v>
      </c>
      <c r="E13">
        <v>93.9</v>
      </c>
      <c r="F13">
        <v>90.9</v>
      </c>
      <c r="G13" s="11" t="str" cm="1">
        <f t="array" ref="G13">TRIM(RemoveSpecial(D13))</f>
        <v>Bachelor of Arts with Honours in Interior Design</v>
      </c>
      <c r="H13" s="11" t="str">
        <f>VLOOKUP(G13,'course-cluster'!$A$2:$C$137,3, FALSE)</f>
        <v>Arts, Design &amp; Media</v>
      </c>
      <c r="I13" s="12" t="s">
        <v>354</v>
      </c>
    </row>
    <row r="14" spans="1:9" x14ac:dyDescent="0.55000000000000004">
      <c r="A14">
        <v>2015</v>
      </c>
      <c r="B14" t="s">
        <v>12</v>
      </c>
      <c r="C14" t="s">
        <v>13</v>
      </c>
      <c r="D14" t="s">
        <v>15</v>
      </c>
      <c r="E14">
        <v>97.3</v>
      </c>
      <c r="F14">
        <v>96.5</v>
      </c>
      <c r="G14" s="11" t="str" cm="1">
        <f t="array" ref="G14">TRIM(RemoveSpecial(D14))</f>
        <v>Accountancy (3-yr direct Honours Programme)</v>
      </c>
      <c r="H14" s="11" t="e">
        <f>VLOOKUP(G14,'course-cluster'!$A$2:$C$137,3, FALSE)</f>
        <v>#N/A</v>
      </c>
      <c r="I14" s="12" t="s">
        <v>219</v>
      </c>
    </row>
    <row r="15" spans="1:9" x14ac:dyDescent="0.55000000000000004">
      <c r="A15">
        <v>2017</v>
      </c>
      <c r="B15" t="s">
        <v>53</v>
      </c>
      <c r="C15" t="s">
        <v>231</v>
      </c>
      <c r="D15" t="s">
        <v>74</v>
      </c>
      <c r="E15">
        <v>93.3</v>
      </c>
      <c r="F15">
        <v>60</v>
      </c>
      <c r="G15" s="11" t="str" cm="1">
        <f t="array" ref="G15">TRIM(RemoveSpecial(D15))</f>
        <v>Bachelor of Arts (Industrial Design)</v>
      </c>
      <c r="H15" s="11" t="str">
        <f>VLOOKUP(G15,'course-cluster'!$A$2:$C$137,3, FALSE)</f>
        <v>Arts, Design &amp; Media</v>
      </c>
      <c r="I15" s="12" t="s">
        <v>354</v>
      </c>
    </row>
    <row r="16" spans="1:9" x14ac:dyDescent="0.55000000000000004">
      <c r="A16">
        <v>2019</v>
      </c>
      <c r="B16" t="s">
        <v>53</v>
      </c>
      <c r="C16" t="s">
        <v>54</v>
      </c>
      <c r="D16" t="s">
        <v>441</v>
      </c>
      <c r="E16">
        <v>92.7</v>
      </c>
      <c r="F16">
        <v>68.2</v>
      </c>
      <c r="G16" s="11" t="str" cm="1">
        <f t="array" ref="G16">TRIM(RemoveSpecial(D16))</f>
        <v>Bachelor of Arts (Hons)</v>
      </c>
      <c r="H16" s="11" t="str">
        <f>VLOOKUP(G16,'course-cluster'!$A$2:$C$137,3, FALSE)</f>
        <v>Arts, Design &amp; Media</v>
      </c>
      <c r="I16" s="12" t="s">
        <v>354</v>
      </c>
    </row>
    <row r="17" spans="1:9" x14ac:dyDescent="0.55000000000000004">
      <c r="A17">
        <v>2017</v>
      </c>
      <c r="B17" t="s">
        <v>12</v>
      </c>
      <c r="C17" t="s">
        <v>18</v>
      </c>
      <c r="D17" t="s">
        <v>264</v>
      </c>
      <c r="E17">
        <v>92.6</v>
      </c>
      <c r="F17">
        <v>62.2</v>
      </c>
      <c r="G17" s="11" t="str" cm="1">
        <f t="array" ref="G17">TRIM(RemoveSpecial(D17))</f>
        <v>Bachelor of Communication Studies (Hons)</v>
      </c>
      <c r="H17" s="11" t="str">
        <f>VLOOKUP(G17,'course-cluster'!$A$2:$C$137,3, FALSE)</f>
        <v>Arts, Design &amp; Media</v>
      </c>
      <c r="I17" s="12" t="s">
        <v>354</v>
      </c>
    </row>
    <row r="18" spans="1:9" x14ac:dyDescent="0.55000000000000004">
      <c r="A18">
        <v>2017</v>
      </c>
      <c r="B18" t="s">
        <v>146</v>
      </c>
      <c r="C18" t="s">
        <v>152</v>
      </c>
      <c r="D18" t="s">
        <v>154</v>
      </c>
      <c r="E18">
        <v>92.3</v>
      </c>
      <c r="F18">
        <v>87.2</v>
      </c>
      <c r="G18" s="11" t="str" cm="1">
        <f t="array" ref="G18">TRIM(RemoveSpecial(D18))</f>
        <v>Bachelor of Arts with Honours in Interior Design</v>
      </c>
      <c r="H18" s="11" t="str">
        <f>VLOOKUP(G18,'course-cluster'!$A$2:$C$137,3, FALSE)</f>
        <v>Arts, Design &amp; Media</v>
      </c>
      <c r="I18" s="12" t="s">
        <v>354</v>
      </c>
    </row>
    <row r="19" spans="1:9" x14ac:dyDescent="0.55000000000000004">
      <c r="A19">
        <v>2018</v>
      </c>
      <c r="B19" t="s">
        <v>146</v>
      </c>
      <c r="C19" t="s">
        <v>152</v>
      </c>
      <c r="D19" t="s">
        <v>154</v>
      </c>
      <c r="E19">
        <v>92.3</v>
      </c>
      <c r="F19">
        <v>76.900000000000006</v>
      </c>
      <c r="G19" s="11" t="str" cm="1">
        <f t="array" ref="G19">TRIM(RemoveSpecial(D19))</f>
        <v>Bachelor of Arts with Honours in Interior Design</v>
      </c>
      <c r="H19" s="11" t="str">
        <f>VLOOKUP(G19,'course-cluster'!$A$2:$C$137,3, FALSE)</f>
        <v>Arts, Design &amp; Media</v>
      </c>
      <c r="I19" s="12" t="s">
        <v>354</v>
      </c>
    </row>
    <row r="20" spans="1:9" x14ac:dyDescent="0.55000000000000004">
      <c r="A20">
        <v>2018</v>
      </c>
      <c r="B20" t="s">
        <v>146</v>
      </c>
      <c r="C20" t="s">
        <v>147</v>
      </c>
      <c r="D20" t="s">
        <v>326</v>
      </c>
      <c r="E20">
        <v>91.2</v>
      </c>
      <c r="F20">
        <v>52.9</v>
      </c>
      <c r="G20" s="11" t="str" cm="1">
        <f t="array" ref="G20">TRIM(RemoveSpecial(D20))</f>
        <v>Bachelor of Fine Arts in Digital Art and Animation</v>
      </c>
      <c r="H20" s="11" t="str">
        <f>VLOOKUP(G20,'course-cluster'!$A$2:$C$137,3, FALSE)</f>
        <v>Arts, Design &amp; Media</v>
      </c>
      <c r="I20" s="12" t="s">
        <v>354</v>
      </c>
    </row>
    <row r="21" spans="1:9" x14ac:dyDescent="0.55000000000000004">
      <c r="A21">
        <v>2016</v>
      </c>
      <c r="B21" t="s">
        <v>146</v>
      </c>
      <c r="C21" t="s">
        <v>152</v>
      </c>
      <c r="D21" t="s">
        <v>153</v>
      </c>
      <c r="E21">
        <v>91.1</v>
      </c>
      <c r="F21">
        <v>58.9</v>
      </c>
      <c r="G21" s="11" t="str" cm="1">
        <f t="array" ref="G21">TRIM(RemoveSpecial(D21))</f>
        <v>Bachelor of Arts with Honours in Communication Design</v>
      </c>
      <c r="H21" s="11" t="str">
        <f>VLOOKUP(G21,'course-cluster'!$A$2:$C$137,3, FALSE)</f>
        <v>Arts, Design &amp; Media</v>
      </c>
      <c r="I21" s="12" t="s">
        <v>354</v>
      </c>
    </row>
    <row r="22" spans="1:9" x14ac:dyDescent="0.55000000000000004">
      <c r="A22">
        <v>2016</v>
      </c>
      <c r="B22" t="s">
        <v>53</v>
      </c>
      <c r="C22" t="s">
        <v>54</v>
      </c>
      <c r="D22" t="s">
        <v>56</v>
      </c>
      <c r="E22">
        <v>90.7</v>
      </c>
      <c r="F22">
        <v>74.099999999999994</v>
      </c>
      <c r="G22" s="11" t="str" cm="1">
        <f t="array" ref="G22">TRIM(RemoveSpecial(D22))</f>
        <v>Bachelor of Arts (Hons)</v>
      </c>
      <c r="H22" s="11" t="str">
        <f>VLOOKUP(G22,'course-cluster'!$A$2:$C$137,3, FALSE)</f>
        <v>Arts, Design &amp; Media</v>
      </c>
      <c r="I22" s="12" t="s">
        <v>354</v>
      </c>
    </row>
    <row r="23" spans="1:9" x14ac:dyDescent="0.55000000000000004">
      <c r="A23">
        <v>2017</v>
      </c>
      <c r="B23" t="s">
        <v>146</v>
      </c>
      <c r="C23" t="s">
        <v>152</v>
      </c>
      <c r="D23" t="s">
        <v>153</v>
      </c>
      <c r="E23">
        <v>90.7</v>
      </c>
      <c r="F23">
        <v>68.5</v>
      </c>
      <c r="G23" s="11" t="str" cm="1">
        <f t="array" ref="G23">TRIM(RemoveSpecial(D23))</f>
        <v>Bachelor of Arts with Honours in Communication Design</v>
      </c>
      <c r="H23" s="11" t="str">
        <f>VLOOKUP(G23,'course-cluster'!$A$2:$C$137,3, FALSE)</f>
        <v>Arts, Design &amp; Media</v>
      </c>
      <c r="I23" s="12" t="s">
        <v>354</v>
      </c>
    </row>
    <row r="24" spans="1:9" x14ac:dyDescent="0.55000000000000004">
      <c r="A24">
        <v>2016</v>
      </c>
      <c r="B24" t="s">
        <v>53</v>
      </c>
      <c r="C24" t="s">
        <v>231</v>
      </c>
      <c r="D24" t="s">
        <v>74</v>
      </c>
      <c r="E24">
        <v>90.6</v>
      </c>
      <c r="F24">
        <v>65.599999999999994</v>
      </c>
      <c r="G24" s="11" t="str" cm="1">
        <f t="array" ref="G24">TRIM(RemoveSpecial(D24))</f>
        <v>Bachelor of Arts (Industrial Design)</v>
      </c>
      <c r="H24" s="11" t="str">
        <f>VLOOKUP(G24,'course-cluster'!$A$2:$C$137,3, FALSE)</f>
        <v>Arts, Design &amp; Media</v>
      </c>
      <c r="I24" s="12" t="s">
        <v>354</v>
      </c>
    </row>
    <row r="25" spans="1:9" x14ac:dyDescent="0.55000000000000004">
      <c r="A25">
        <v>2013</v>
      </c>
      <c r="B25" t="s">
        <v>12</v>
      </c>
      <c r="C25" t="s">
        <v>13</v>
      </c>
      <c r="D25" t="s">
        <v>15</v>
      </c>
      <c r="E25">
        <v>97.1</v>
      </c>
      <c r="F25">
        <v>95.7</v>
      </c>
      <c r="G25" s="11" t="str" cm="1">
        <f t="array" ref="G25">TRIM(RemoveSpecial(D25))</f>
        <v>Accountancy (3-yr direct Honours Programme)</v>
      </c>
      <c r="H25" s="11" t="e">
        <f>VLOOKUP(G25,'course-cluster'!$A$2:$C$137,3, FALSE)</f>
        <v>#N/A</v>
      </c>
      <c r="I25" s="12" t="s">
        <v>219</v>
      </c>
    </row>
    <row r="26" spans="1:9" x14ac:dyDescent="0.55000000000000004">
      <c r="A26">
        <v>2014</v>
      </c>
      <c r="B26" t="s">
        <v>12</v>
      </c>
      <c r="C26" t="s">
        <v>13</v>
      </c>
      <c r="D26" t="s">
        <v>15</v>
      </c>
      <c r="E26">
        <v>96.6</v>
      </c>
      <c r="F26">
        <v>96.1</v>
      </c>
      <c r="G26" s="11" t="str" cm="1">
        <f t="array" ref="G26">TRIM(RemoveSpecial(D26))</f>
        <v>Accountancy (3-yr direct Honours Programme)</v>
      </c>
      <c r="H26" s="11" t="e">
        <f>VLOOKUP(G26,'course-cluster'!$A$2:$C$137,3, FALSE)</f>
        <v>#N/A</v>
      </c>
      <c r="I26" s="12" t="s">
        <v>219</v>
      </c>
    </row>
    <row r="27" spans="1:9" x14ac:dyDescent="0.55000000000000004">
      <c r="A27">
        <v>2014</v>
      </c>
      <c r="B27" t="s">
        <v>146</v>
      </c>
      <c r="C27" t="s">
        <v>152</v>
      </c>
      <c r="D27" t="s">
        <v>153</v>
      </c>
      <c r="E27">
        <v>89.1</v>
      </c>
      <c r="F27">
        <v>78.3</v>
      </c>
      <c r="G27" s="11" t="str" cm="1">
        <f t="array" ref="G27">TRIM(RemoveSpecial(D27))</f>
        <v>Bachelor of Arts with Honours in Communication Design</v>
      </c>
      <c r="H27" s="11" t="str">
        <f>VLOOKUP(G27,'course-cluster'!$A$2:$C$137,3, FALSE)</f>
        <v>Arts, Design &amp; Media</v>
      </c>
      <c r="I27" s="12" t="s">
        <v>354</v>
      </c>
    </row>
    <row r="28" spans="1:9" x14ac:dyDescent="0.55000000000000004">
      <c r="A28">
        <v>2017</v>
      </c>
      <c r="B28" t="s">
        <v>12</v>
      </c>
      <c r="C28" t="s">
        <v>18</v>
      </c>
      <c r="D28" t="s">
        <v>262</v>
      </c>
      <c r="E28">
        <v>88.5</v>
      </c>
      <c r="F28">
        <v>54</v>
      </c>
      <c r="G28" s="11" t="str" cm="1">
        <f t="array" ref="G28">TRIM(RemoveSpecial(D28))</f>
        <v>Bachelor of Fine Arts (Hons)</v>
      </c>
      <c r="H28" s="11" t="str">
        <f>VLOOKUP(G28,'course-cluster'!$A$2:$C$137,3, FALSE)</f>
        <v>Arts, Design &amp; Media</v>
      </c>
      <c r="I28" s="12" t="s">
        <v>354</v>
      </c>
    </row>
    <row r="29" spans="1:9" x14ac:dyDescent="0.55000000000000004">
      <c r="A29">
        <v>2015</v>
      </c>
      <c r="B29" t="s">
        <v>53</v>
      </c>
      <c r="C29" t="s">
        <v>54</v>
      </c>
      <c r="D29" t="s">
        <v>55</v>
      </c>
      <c r="E29">
        <v>88.4</v>
      </c>
      <c r="F29">
        <v>74.599999999999994</v>
      </c>
      <c r="G29" s="11" t="str" cm="1">
        <f t="array" ref="G29">TRIM(RemoveSpecial(D29))</f>
        <v>Bachelor of Arts</v>
      </c>
      <c r="H29" s="11" t="str">
        <f>VLOOKUP(G29,'course-cluster'!$A$2:$C$137,3, FALSE)</f>
        <v>Arts, Design &amp; Media</v>
      </c>
      <c r="I29" s="12" t="s">
        <v>354</v>
      </c>
    </row>
    <row r="30" spans="1:9" x14ac:dyDescent="0.55000000000000004">
      <c r="A30">
        <v>2017</v>
      </c>
      <c r="B30" t="s">
        <v>53</v>
      </c>
      <c r="C30" t="s">
        <v>54</v>
      </c>
      <c r="D30" t="s">
        <v>56</v>
      </c>
      <c r="E30">
        <v>88.2</v>
      </c>
      <c r="F30">
        <v>66.7</v>
      </c>
      <c r="G30" s="11" t="str" cm="1">
        <f t="array" ref="G30">TRIM(RemoveSpecial(D30))</f>
        <v>Bachelor of Arts (Hons)</v>
      </c>
      <c r="H30" s="11" t="str">
        <f>VLOOKUP(G30,'course-cluster'!$A$2:$C$137,3, FALSE)</f>
        <v>Arts, Design &amp; Media</v>
      </c>
      <c r="I30" s="12" t="s">
        <v>354</v>
      </c>
    </row>
    <row r="31" spans="1:9" x14ac:dyDescent="0.55000000000000004">
      <c r="A31">
        <v>2018</v>
      </c>
      <c r="B31" t="s">
        <v>53</v>
      </c>
      <c r="C31" t="s">
        <v>54</v>
      </c>
      <c r="D31" t="s">
        <v>56</v>
      </c>
      <c r="E31">
        <v>87.5</v>
      </c>
      <c r="F31">
        <v>60.8</v>
      </c>
      <c r="G31" s="11" t="str" cm="1">
        <f t="array" ref="G31">TRIM(RemoveSpecial(D31))</f>
        <v>Bachelor of Arts (Hons)</v>
      </c>
      <c r="H31" s="11" t="str">
        <f>VLOOKUP(G31,'course-cluster'!$A$2:$C$137,3, FALSE)</f>
        <v>Arts, Design &amp; Media</v>
      </c>
      <c r="I31" s="12" t="s">
        <v>354</v>
      </c>
    </row>
    <row r="32" spans="1:9" x14ac:dyDescent="0.55000000000000004">
      <c r="A32">
        <v>2015</v>
      </c>
      <c r="B32" t="s">
        <v>146</v>
      </c>
      <c r="C32" t="s">
        <v>152</v>
      </c>
      <c r="D32" t="s">
        <v>154</v>
      </c>
      <c r="E32">
        <v>87.5</v>
      </c>
      <c r="F32">
        <v>71.900000000000006</v>
      </c>
      <c r="G32" s="11" t="str" cm="1">
        <f t="array" ref="G32">TRIM(RemoveSpecial(D32))</f>
        <v>Bachelor of Arts with Honours in Interior Design</v>
      </c>
      <c r="H32" s="11" t="str">
        <f>VLOOKUP(G32,'course-cluster'!$A$2:$C$137,3, FALSE)</f>
        <v>Arts, Design &amp; Media</v>
      </c>
      <c r="I32" s="12" t="s">
        <v>354</v>
      </c>
    </row>
    <row r="33" spans="1:9" x14ac:dyDescent="0.55000000000000004">
      <c r="A33">
        <v>2019</v>
      </c>
      <c r="B33" t="s">
        <v>146</v>
      </c>
      <c r="C33" t="s">
        <v>152</v>
      </c>
      <c r="D33" t="s">
        <v>561</v>
      </c>
      <c r="E33">
        <v>87.1</v>
      </c>
      <c r="F33">
        <v>80.600000000000009</v>
      </c>
      <c r="G33" s="11" t="str" cm="1">
        <f t="array" ref="G33">TRIM(RemoveSpecial(D33))</f>
        <v>Bachelor of Arts with Honours in Interior Design</v>
      </c>
      <c r="H33" s="11" t="str">
        <f>VLOOKUP(G33,'course-cluster'!$A$2:$C$137,3, FALSE)</f>
        <v>Arts, Design &amp; Media</v>
      </c>
      <c r="I33" s="12" t="s">
        <v>354</v>
      </c>
    </row>
    <row r="34" spans="1:9" x14ac:dyDescent="0.55000000000000004">
      <c r="A34">
        <v>2018</v>
      </c>
      <c r="B34" t="s">
        <v>53</v>
      </c>
      <c r="C34" t="s">
        <v>72</v>
      </c>
      <c r="D34" t="s">
        <v>74</v>
      </c>
      <c r="E34">
        <v>87</v>
      </c>
      <c r="F34">
        <v>69.599999999999994</v>
      </c>
      <c r="G34" s="11" t="str" cm="1">
        <f t="array" ref="G34">TRIM(RemoveSpecial(D34))</f>
        <v>Bachelor of Arts (Industrial Design)</v>
      </c>
      <c r="H34" s="11" t="str">
        <f>VLOOKUP(G34,'course-cluster'!$A$2:$C$137,3, FALSE)</f>
        <v>Arts, Design &amp; Media</v>
      </c>
      <c r="I34" s="12" t="s">
        <v>354</v>
      </c>
    </row>
    <row r="35" spans="1:9" x14ac:dyDescent="0.55000000000000004">
      <c r="A35">
        <v>2018</v>
      </c>
      <c r="B35" t="s">
        <v>146</v>
      </c>
      <c r="C35" t="s">
        <v>147</v>
      </c>
      <c r="D35" t="s">
        <v>293</v>
      </c>
      <c r="E35">
        <v>86.7</v>
      </c>
      <c r="F35">
        <v>86.7</v>
      </c>
      <c r="G35" s="11" t="str" cm="1">
        <f t="array" ref="G35">TRIM(RemoveSpecial(D35))</f>
        <v>Bachelor of Arts in Game Design</v>
      </c>
      <c r="H35" s="11" t="str">
        <f>VLOOKUP(G35,'course-cluster'!$A$2:$C$137,3, FALSE)</f>
        <v>Arts, Design &amp; Media</v>
      </c>
      <c r="I35" s="12" t="s">
        <v>354</v>
      </c>
    </row>
    <row r="36" spans="1:9" x14ac:dyDescent="0.55000000000000004">
      <c r="A36">
        <v>2013</v>
      </c>
      <c r="B36" t="s">
        <v>53</v>
      </c>
      <c r="C36" t="s">
        <v>54</v>
      </c>
      <c r="D36" t="s">
        <v>56</v>
      </c>
      <c r="E36">
        <v>86.6</v>
      </c>
      <c r="F36">
        <v>74.599999999999994</v>
      </c>
      <c r="G36" s="11" t="str" cm="1">
        <f t="array" ref="G36">TRIM(RemoveSpecial(D36))</f>
        <v>Bachelor of Arts (Hons)</v>
      </c>
      <c r="H36" s="11" t="str">
        <f>VLOOKUP(G36,'course-cluster'!$A$2:$C$137,3, FALSE)</f>
        <v>Arts, Design &amp; Media</v>
      </c>
      <c r="I36" s="12" t="s">
        <v>354</v>
      </c>
    </row>
    <row r="37" spans="1:9" x14ac:dyDescent="0.55000000000000004">
      <c r="A37">
        <v>2019</v>
      </c>
      <c r="B37" t="s">
        <v>53</v>
      </c>
      <c r="C37" t="s">
        <v>72</v>
      </c>
      <c r="D37" t="s">
        <v>463</v>
      </c>
      <c r="E37">
        <v>86.2</v>
      </c>
      <c r="F37">
        <v>48.3</v>
      </c>
      <c r="G37" s="11" t="str" cm="1">
        <f t="array" ref="G37">TRIM(RemoveSpecial(D37))</f>
        <v>Bachelor of Arts (Industrial Design)</v>
      </c>
      <c r="H37" s="11" t="str">
        <f>VLOOKUP(G37,'course-cluster'!$A$2:$C$137,3, FALSE)</f>
        <v>Arts, Design &amp; Media</v>
      </c>
      <c r="I37" s="12" t="s">
        <v>354</v>
      </c>
    </row>
    <row r="38" spans="1:9" x14ac:dyDescent="0.55000000000000004">
      <c r="A38">
        <v>2016</v>
      </c>
      <c r="B38" t="s">
        <v>53</v>
      </c>
      <c r="C38" t="s">
        <v>54</v>
      </c>
      <c r="D38" t="s">
        <v>55</v>
      </c>
      <c r="E38">
        <v>86.1</v>
      </c>
      <c r="F38">
        <v>62.5</v>
      </c>
      <c r="G38" s="11" t="str" cm="1">
        <f t="array" ref="G38">TRIM(RemoveSpecial(D38))</f>
        <v>Bachelor of Arts</v>
      </c>
      <c r="H38" s="11" t="str">
        <f>VLOOKUP(G38,'course-cluster'!$A$2:$C$137,3, FALSE)</f>
        <v>Arts, Design &amp; Media</v>
      </c>
      <c r="I38" s="12" t="s">
        <v>354</v>
      </c>
    </row>
    <row r="39" spans="1:9" x14ac:dyDescent="0.55000000000000004">
      <c r="A39">
        <v>2017</v>
      </c>
      <c r="B39" t="s">
        <v>53</v>
      </c>
      <c r="C39" t="s">
        <v>54</v>
      </c>
      <c r="D39" t="s">
        <v>55</v>
      </c>
      <c r="E39">
        <v>85.8</v>
      </c>
      <c r="F39">
        <v>61.9</v>
      </c>
      <c r="G39" s="11" t="str" cm="1">
        <f t="array" ref="G39">TRIM(RemoveSpecial(D39))</f>
        <v>Bachelor of Arts</v>
      </c>
      <c r="H39" s="11" t="str">
        <f>VLOOKUP(G39,'course-cluster'!$A$2:$C$137,3, FALSE)</f>
        <v>Arts, Design &amp; Media</v>
      </c>
      <c r="I39" s="12" t="s">
        <v>354</v>
      </c>
    </row>
    <row r="40" spans="1:9" x14ac:dyDescent="0.55000000000000004">
      <c r="A40">
        <v>2014</v>
      </c>
      <c r="B40" t="s">
        <v>103</v>
      </c>
      <c r="C40" t="s">
        <v>128</v>
      </c>
      <c r="D40" t="s">
        <v>129</v>
      </c>
      <c r="E40">
        <v>93.6</v>
      </c>
      <c r="F40">
        <v>91.4</v>
      </c>
      <c r="G40" s="11" t="str" cm="1">
        <f t="array" ref="G40">TRIM(RemoveSpecial(D40))</f>
        <v>Accountancy (4-year programme)</v>
      </c>
      <c r="H40" s="11" t="e">
        <f>VLOOKUP(G40,'course-cluster'!$A$2:$C$137,3, FALSE)</f>
        <v>#N/A</v>
      </c>
      <c r="I40" s="12" t="s">
        <v>219</v>
      </c>
    </row>
    <row r="41" spans="1:9" x14ac:dyDescent="0.55000000000000004">
      <c r="A41">
        <v>2019</v>
      </c>
      <c r="B41" t="s">
        <v>53</v>
      </c>
      <c r="C41" t="s">
        <v>54</v>
      </c>
      <c r="D41" t="s">
        <v>55</v>
      </c>
      <c r="E41">
        <v>84.9</v>
      </c>
      <c r="F41">
        <v>64.5</v>
      </c>
      <c r="G41" s="11" t="str" cm="1">
        <f t="array" ref="G41">TRIM(RemoveSpecial(D41))</f>
        <v>Bachelor of Arts</v>
      </c>
      <c r="H41" s="11" t="str">
        <f>VLOOKUP(G41,'course-cluster'!$A$2:$C$137,3, FALSE)</f>
        <v>Arts, Design &amp; Media</v>
      </c>
      <c r="I41" s="12" t="s">
        <v>354</v>
      </c>
    </row>
    <row r="42" spans="1:9" x14ac:dyDescent="0.55000000000000004">
      <c r="A42">
        <v>2018</v>
      </c>
      <c r="B42" t="s">
        <v>146</v>
      </c>
      <c r="C42" t="s">
        <v>152</v>
      </c>
      <c r="D42" t="s">
        <v>153</v>
      </c>
      <c r="E42">
        <v>84.9</v>
      </c>
      <c r="F42">
        <v>54.7</v>
      </c>
      <c r="G42" s="11" t="str" cm="1">
        <f t="array" ref="G42">TRIM(RemoveSpecial(D42))</f>
        <v>Bachelor of Arts with Honours in Communication Design</v>
      </c>
      <c r="H42" s="11" t="str">
        <f>VLOOKUP(G42,'course-cluster'!$A$2:$C$137,3, FALSE)</f>
        <v>Arts, Design &amp; Media</v>
      </c>
      <c r="I42" s="12" t="s">
        <v>354</v>
      </c>
    </row>
    <row r="43" spans="1:9" x14ac:dyDescent="0.55000000000000004">
      <c r="A43">
        <v>2013</v>
      </c>
      <c r="B43" t="s">
        <v>53</v>
      </c>
      <c r="C43" t="s">
        <v>54</v>
      </c>
      <c r="D43" t="s">
        <v>55</v>
      </c>
      <c r="E43">
        <v>84.8</v>
      </c>
      <c r="F43">
        <v>70.099999999999994</v>
      </c>
      <c r="G43" s="11" t="str" cm="1">
        <f t="array" ref="G43">TRIM(RemoveSpecial(D43))</f>
        <v>Bachelor of Arts</v>
      </c>
      <c r="H43" s="11" t="str">
        <f>VLOOKUP(G43,'course-cluster'!$A$2:$C$137,3, FALSE)</f>
        <v>Arts, Design &amp; Media</v>
      </c>
      <c r="I43" s="12" t="s">
        <v>354</v>
      </c>
    </row>
    <row r="44" spans="1:9" x14ac:dyDescent="0.55000000000000004">
      <c r="A44">
        <v>2018</v>
      </c>
      <c r="B44" t="s">
        <v>53</v>
      </c>
      <c r="C44" t="s">
        <v>54</v>
      </c>
      <c r="D44" t="s">
        <v>55</v>
      </c>
      <c r="E44">
        <v>83.7</v>
      </c>
      <c r="F44">
        <v>56.6</v>
      </c>
      <c r="G44" s="11" t="str" cm="1">
        <f t="array" ref="G44">TRIM(RemoveSpecial(D44))</f>
        <v>Bachelor of Arts</v>
      </c>
      <c r="H44" s="11" t="str">
        <f>VLOOKUP(G44,'course-cluster'!$A$2:$C$137,3, FALSE)</f>
        <v>Arts, Design &amp; Media</v>
      </c>
      <c r="I44" s="12" t="s">
        <v>354</v>
      </c>
    </row>
    <row r="45" spans="1:9" x14ac:dyDescent="0.55000000000000004">
      <c r="A45">
        <v>2014</v>
      </c>
      <c r="B45" t="s">
        <v>103</v>
      </c>
      <c r="C45" t="s">
        <v>128</v>
      </c>
      <c r="D45" t="s">
        <v>130</v>
      </c>
      <c r="E45">
        <v>97.4</v>
      </c>
      <c r="F45">
        <v>96.1</v>
      </c>
      <c r="G45" s="11" t="str" cm="1">
        <f t="array" ref="G45">TRIM(RemoveSpecial(D45))</f>
        <v>Accountancy (4-year programme) Cum Laude and above</v>
      </c>
      <c r="H45" s="11" t="e">
        <f>VLOOKUP(G45,'course-cluster'!$A$2:$C$137,3, FALSE)</f>
        <v>#N/A</v>
      </c>
      <c r="I45" s="12" t="s">
        <v>219</v>
      </c>
    </row>
    <row r="46" spans="1:9" x14ac:dyDescent="0.55000000000000004">
      <c r="A46">
        <v>2019</v>
      </c>
      <c r="B46" t="s">
        <v>146</v>
      </c>
      <c r="C46" t="s">
        <v>147</v>
      </c>
      <c r="D46" t="s">
        <v>534</v>
      </c>
      <c r="E46">
        <v>83.3</v>
      </c>
      <c r="F46">
        <v>79.2</v>
      </c>
      <c r="G46" s="11" t="str" cm="1">
        <f t="array" ref="G46">TRIM(RemoveSpecial(D46))</f>
        <v>Bachelor of Arts in Game Design</v>
      </c>
      <c r="H46" s="11" t="str">
        <f>VLOOKUP(G46,'course-cluster'!$A$2:$C$137,3, FALSE)</f>
        <v>Arts, Design &amp; Media</v>
      </c>
      <c r="I46" s="12" t="s">
        <v>354</v>
      </c>
    </row>
    <row r="47" spans="1:9" x14ac:dyDescent="0.55000000000000004">
      <c r="A47">
        <v>2014</v>
      </c>
      <c r="B47" t="s">
        <v>53</v>
      </c>
      <c r="C47" t="s">
        <v>54</v>
      </c>
      <c r="D47" t="s">
        <v>56</v>
      </c>
      <c r="E47">
        <v>83.1</v>
      </c>
      <c r="F47">
        <v>76.599999999999994</v>
      </c>
      <c r="G47" s="11" t="str" cm="1">
        <f t="array" ref="G47">TRIM(RemoveSpecial(D47))</f>
        <v>Bachelor of Arts (Hons)</v>
      </c>
      <c r="H47" s="11" t="str">
        <f>VLOOKUP(G47,'course-cluster'!$A$2:$C$137,3, FALSE)</f>
        <v>Arts, Design &amp; Media</v>
      </c>
      <c r="I47" s="12" t="s">
        <v>354</v>
      </c>
    </row>
    <row r="48" spans="1:9" x14ac:dyDescent="0.55000000000000004">
      <c r="A48">
        <v>2015</v>
      </c>
      <c r="B48" t="s">
        <v>53</v>
      </c>
      <c r="C48" t="s">
        <v>54</v>
      </c>
      <c r="D48" t="s">
        <v>56</v>
      </c>
      <c r="E48">
        <v>83</v>
      </c>
      <c r="F48">
        <v>70.5</v>
      </c>
      <c r="G48" s="11" t="str" cm="1">
        <f t="array" ref="G48">TRIM(RemoveSpecial(D48))</f>
        <v>Bachelor of Arts (Hons)</v>
      </c>
      <c r="H48" s="11" t="str">
        <f>VLOOKUP(G48,'course-cluster'!$A$2:$C$137,3, FALSE)</f>
        <v>Arts, Design &amp; Media</v>
      </c>
      <c r="I48" s="12" t="s">
        <v>354</v>
      </c>
    </row>
    <row r="49" spans="1:9" x14ac:dyDescent="0.55000000000000004">
      <c r="A49">
        <v>2013</v>
      </c>
      <c r="B49" t="s">
        <v>53</v>
      </c>
      <c r="C49" t="s">
        <v>72</v>
      </c>
      <c r="D49" t="s">
        <v>74</v>
      </c>
      <c r="E49">
        <v>82.1</v>
      </c>
      <c r="F49">
        <v>53.6</v>
      </c>
      <c r="G49" s="11" t="str" cm="1">
        <f t="array" ref="G49">TRIM(RemoveSpecial(D49))</f>
        <v>Bachelor of Arts (Industrial Design)</v>
      </c>
      <c r="H49" s="11" t="str">
        <f>VLOOKUP(G49,'course-cluster'!$A$2:$C$137,3, FALSE)</f>
        <v>Arts, Design &amp; Media</v>
      </c>
      <c r="I49" s="12" t="s">
        <v>354</v>
      </c>
    </row>
    <row r="50" spans="1:9" x14ac:dyDescent="0.55000000000000004">
      <c r="A50">
        <v>2014</v>
      </c>
      <c r="B50" t="s">
        <v>53</v>
      </c>
      <c r="C50" t="s">
        <v>54</v>
      </c>
      <c r="D50" t="s">
        <v>55</v>
      </c>
      <c r="E50">
        <v>81.900000000000006</v>
      </c>
      <c r="F50">
        <v>65.3</v>
      </c>
      <c r="G50" s="11" t="str" cm="1">
        <f t="array" ref="G50">TRIM(RemoveSpecial(D50))</f>
        <v>Bachelor of Arts</v>
      </c>
      <c r="H50" s="11" t="str">
        <f>VLOOKUP(G50,'course-cluster'!$A$2:$C$137,3, FALSE)</f>
        <v>Arts, Design &amp; Media</v>
      </c>
      <c r="I50" s="12" t="s">
        <v>354</v>
      </c>
    </row>
    <row r="51" spans="1:9" x14ac:dyDescent="0.55000000000000004">
      <c r="A51">
        <v>2013</v>
      </c>
      <c r="B51" t="s">
        <v>103</v>
      </c>
      <c r="C51" t="s">
        <v>104</v>
      </c>
      <c r="D51" t="s">
        <v>105</v>
      </c>
      <c r="E51">
        <v>94.2</v>
      </c>
      <c r="F51">
        <v>93.2</v>
      </c>
      <c r="G51" s="11" t="str" cm="1">
        <f t="array" ref="G51">TRIM(RemoveSpecial(D51))</f>
        <v>Accountancy (4-years programme)</v>
      </c>
      <c r="H51" s="11" t="e">
        <f>VLOOKUP(G51,'course-cluster'!$A$2:$C$137,3, FALSE)</f>
        <v>#N/A</v>
      </c>
      <c r="I51" s="12" t="s">
        <v>219</v>
      </c>
    </row>
    <row r="52" spans="1:9" x14ac:dyDescent="0.55000000000000004">
      <c r="A52">
        <v>2019</v>
      </c>
      <c r="B52" t="s">
        <v>146</v>
      </c>
      <c r="C52" t="s">
        <v>147</v>
      </c>
      <c r="D52" t="s">
        <v>535</v>
      </c>
      <c r="E52">
        <v>81.3</v>
      </c>
      <c r="F52">
        <v>50</v>
      </c>
      <c r="G52" s="11" t="str" cm="1">
        <f t="array" ref="G52">TRIM(RemoveSpecial(D52))</f>
        <v>Bachelor of Fine Arts in Digital Art and Animation</v>
      </c>
      <c r="H52" s="11" t="str">
        <f>VLOOKUP(G52,'course-cluster'!$A$2:$C$137,3, FALSE)</f>
        <v>Arts, Design &amp; Media</v>
      </c>
      <c r="I52" s="12" t="s">
        <v>354</v>
      </c>
    </row>
    <row r="53" spans="1:9" x14ac:dyDescent="0.55000000000000004">
      <c r="A53">
        <v>2013</v>
      </c>
      <c r="B53" t="s">
        <v>103</v>
      </c>
      <c r="C53" t="s">
        <v>104</v>
      </c>
      <c r="D53" t="s">
        <v>106</v>
      </c>
      <c r="E53">
        <v>95.2</v>
      </c>
      <c r="F53">
        <v>95.2</v>
      </c>
      <c r="G53" s="11" t="str" cm="1">
        <f t="array" ref="G53">TRIM(RemoveSpecial(D53))</f>
        <v>Accountancy (4-years programme) Cum Laude and above</v>
      </c>
      <c r="H53" s="11" t="e">
        <f>VLOOKUP(G53,'course-cluster'!$A$2:$C$137,3, FALSE)</f>
        <v>#N/A</v>
      </c>
      <c r="I53" s="12" t="s">
        <v>219</v>
      </c>
    </row>
    <row r="54" spans="1:9" x14ac:dyDescent="0.55000000000000004">
      <c r="A54">
        <v>2018</v>
      </c>
      <c r="B54" t="s">
        <v>103</v>
      </c>
      <c r="C54" t="s">
        <v>128</v>
      </c>
      <c r="D54" t="s">
        <v>340</v>
      </c>
      <c r="E54">
        <v>96.3</v>
      </c>
      <c r="F54">
        <v>95.1</v>
      </c>
      <c r="G54" s="11" t="str" cm="1">
        <f t="array" ref="G54">TRIM(RemoveSpecial(D54))</f>
        <v>Accountancy (Cum Laude and above)</v>
      </c>
      <c r="H54" s="11" t="e">
        <f>VLOOKUP(G54,'course-cluster'!$A$2:$C$137,3, FALSE)</f>
        <v>#N/A</v>
      </c>
      <c r="I54" s="12" t="s">
        <v>219</v>
      </c>
    </row>
    <row r="55" spans="1:9" x14ac:dyDescent="0.55000000000000004">
      <c r="A55">
        <v>2018</v>
      </c>
      <c r="B55" t="s">
        <v>12</v>
      </c>
      <c r="C55" t="s">
        <v>13</v>
      </c>
      <c r="D55" t="s">
        <v>14</v>
      </c>
      <c r="E55">
        <v>99.2</v>
      </c>
      <c r="F55">
        <v>97.7</v>
      </c>
      <c r="G55" s="11" t="str" cm="1">
        <f t="array" ref="G55">TRIM(RemoveSpecial(D55))</f>
        <v>Accountancy and Business</v>
      </c>
      <c r="H55" s="11" t="e">
        <f>VLOOKUP(G55,'course-cluster'!$A$2:$C$137,3, FALSE)</f>
        <v>#N/A</v>
      </c>
      <c r="I55" s="12" t="s">
        <v>219</v>
      </c>
    </row>
    <row r="56" spans="1:9" x14ac:dyDescent="0.55000000000000004">
      <c r="A56">
        <v>2019</v>
      </c>
      <c r="B56" t="s">
        <v>146</v>
      </c>
      <c r="C56" t="s">
        <v>152</v>
      </c>
      <c r="D56" t="s">
        <v>559</v>
      </c>
      <c r="E56">
        <v>78.7</v>
      </c>
      <c r="F56">
        <v>55.300000000000004</v>
      </c>
      <c r="G56" s="11" t="str" cm="1">
        <f t="array" ref="G56">TRIM(RemoveSpecial(D56))</f>
        <v>Bachelor of Arts with Honours in Communication Design</v>
      </c>
      <c r="H56" s="11" t="str">
        <f>VLOOKUP(G56,'course-cluster'!$A$2:$C$137,3, FALSE)</f>
        <v>Arts, Design &amp; Media</v>
      </c>
      <c r="I56" s="12" t="s">
        <v>354</v>
      </c>
    </row>
    <row r="57" spans="1:9" x14ac:dyDescent="0.55000000000000004">
      <c r="A57">
        <v>2014</v>
      </c>
      <c r="B57" t="s">
        <v>53</v>
      </c>
      <c r="C57" t="s">
        <v>72</v>
      </c>
      <c r="D57" t="s">
        <v>74</v>
      </c>
      <c r="E57">
        <v>77.3</v>
      </c>
      <c r="F57">
        <v>59.1</v>
      </c>
      <c r="G57" s="11" t="str" cm="1">
        <f t="array" ref="G57">TRIM(RemoveSpecial(D57))</f>
        <v>Bachelor of Arts (Industrial Design)</v>
      </c>
      <c r="H57" s="11" t="str">
        <f>VLOOKUP(G57,'course-cluster'!$A$2:$C$137,3, FALSE)</f>
        <v>Arts, Design &amp; Media</v>
      </c>
      <c r="I57" s="12" t="s">
        <v>354</v>
      </c>
    </row>
    <row r="58" spans="1:9" x14ac:dyDescent="0.55000000000000004">
      <c r="A58">
        <v>2015</v>
      </c>
      <c r="B58" t="s">
        <v>146</v>
      </c>
      <c r="C58" t="s">
        <v>152</v>
      </c>
      <c r="D58" t="s">
        <v>153</v>
      </c>
      <c r="E58">
        <v>76.099999999999994</v>
      </c>
      <c r="F58">
        <v>54.3</v>
      </c>
      <c r="G58" s="11" t="str" cm="1">
        <f t="array" ref="G58">TRIM(RemoveSpecial(D58))</f>
        <v>Bachelor of Arts with Honours in Communication Design</v>
      </c>
      <c r="H58" s="11" t="str">
        <f>VLOOKUP(G58,'course-cluster'!$A$2:$C$137,3, FALSE)</f>
        <v>Arts, Design &amp; Media</v>
      </c>
      <c r="I58" s="12" t="s">
        <v>354</v>
      </c>
    </row>
    <row r="59" spans="1:9" x14ac:dyDescent="0.55000000000000004">
      <c r="A59">
        <v>2015</v>
      </c>
      <c r="B59" t="s">
        <v>53</v>
      </c>
      <c r="C59" t="s">
        <v>72</v>
      </c>
      <c r="D59" t="s">
        <v>74</v>
      </c>
      <c r="E59">
        <v>72</v>
      </c>
      <c r="F59">
        <v>60</v>
      </c>
      <c r="G59" s="11" t="str" cm="1">
        <f t="array" ref="G59">TRIM(RemoveSpecial(D59))</f>
        <v>Bachelor of Arts (Industrial Design)</v>
      </c>
      <c r="H59" s="11" t="str">
        <f>VLOOKUP(G59,'course-cluster'!$A$2:$C$137,3, FALSE)</f>
        <v>Arts, Design &amp; Media</v>
      </c>
      <c r="I59" s="12" t="s">
        <v>354</v>
      </c>
    </row>
    <row r="60" spans="1:9" x14ac:dyDescent="0.55000000000000004">
      <c r="A60">
        <v>2015</v>
      </c>
      <c r="B60" t="s">
        <v>12</v>
      </c>
      <c r="C60" t="s">
        <v>13</v>
      </c>
      <c r="D60" t="s">
        <v>14</v>
      </c>
      <c r="E60">
        <v>98.6</v>
      </c>
      <c r="F60">
        <v>97.3</v>
      </c>
      <c r="G60" s="11" t="str" cm="1">
        <f t="array" ref="G60">TRIM(RemoveSpecial(D60))</f>
        <v>Accountancy and Business</v>
      </c>
      <c r="H60" s="11" t="e">
        <f>VLOOKUP(G60,'course-cluster'!$A$2:$C$137,3, FALSE)</f>
        <v>#N/A</v>
      </c>
      <c r="I60" s="12" t="s">
        <v>219</v>
      </c>
    </row>
    <row r="61" spans="1:9" x14ac:dyDescent="0.55000000000000004">
      <c r="A61">
        <v>2014</v>
      </c>
      <c r="B61" t="s">
        <v>12</v>
      </c>
      <c r="C61" t="s">
        <v>13</v>
      </c>
      <c r="D61" t="s">
        <v>14</v>
      </c>
      <c r="E61">
        <v>98.2</v>
      </c>
      <c r="F61">
        <v>95.6</v>
      </c>
      <c r="G61" s="11" t="str" cm="1">
        <f t="array" ref="G61">TRIM(RemoveSpecial(D61))</f>
        <v>Accountancy and Business</v>
      </c>
      <c r="H61" s="11" t="e">
        <f>VLOOKUP(G61,'course-cluster'!$A$2:$C$137,3, FALSE)</f>
        <v>#N/A</v>
      </c>
      <c r="I61" s="12" t="s">
        <v>219</v>
      </c>
    </row>
    <row r="62" spans="1:9" x14ac:dyDescent="0.55000000000000004">
      <c r="A62">
        <v>2017</v>
      </c>
      <c r="B62" t="s">
        <v>12</v>
      </c>
      <c r="C62" t="s">
        <v>18</v>
      </c>
      <c r="D62" t="s">
        <v>248</v>
      </c>
      <c r="E62">
        <v>98.5</v>
      </c>
      <c r="F62">
        <v>96.9</v>
      </c>
      <c r="G62" s="11" t="str" cm="1">
        <f t="array" ref="G62">TRIM(RemoveSpecial(D62))</f>
        <v>Bachelor of Engineering (Hons) (Civil Engineering)</v>
      </c>
      <c r="H62" s="11" t="str">
        <f>VLOOKUP(G62,'course-cluster'!$A$2:$C$137,3, FALSE)</f>
        <v>Built Environment</v>
      </c>
      <c r="I62" s="12" t="s">
        <v>358</v>
      </c>
    </row>
    <row r="63" spans="1:9" x14ac:dyDescent="0.55000000000000004">
      <c r="A63">
        <v>2014</v>
      </c>
      <c r="B63" t="s">
        <v>53</v>
      </c>
      <c r="C63" t="s">
        <v>72</v>
      </c>
      <c r="D63" t="s">
        <v>125</v>
      </c>
      <c r="E63">
        <v>98.4</v>
      </c>
      <c r="F63">
        <v>95.2</v>
      </c>
      <c r="G63" s="11" t="str" cm="1">
        <f t="array" ref="G63">TRIM(RemoveSpecial(D63))</f>
        <v>Bachelor of Arts (Architecture)</v>
      </c>
      <c r="H63" s="11" t="str">
        <f>VLOOKUP(G63,'course-cluster'!$A$2:$C$137,3, FALSE)</f>
        <v>Built Environment</v>
      </c>
      <c r="I63" s="12" t="s">
        <v>358</v>
      </c>
    </row>
    <row r="64" spans="1:9" x14ac:dyDescent="0.55000000000000004">
      <c r="A64">
        <v>2015</v>
      </c>
      <c r="B64" t="s">
        <v>53</v>
      </c>
      <c r="C64" t="s">
        <v>72</v>
      </c>
      <c r="D64" t="s">
        <v>125</v>
      </c>
      <c r="E64">
        <v>97.6</v>
      </c>
      <c r="F64">
        <v>96.4</v>
      </c>
      <c r="G64" s="11" t="str" cm="1">
        <f t="array" ref="G64">TRIM(RemoveSpecial(D64))</f>
        <v>Bachelor of Arts (Architecture)</v>
      </c>
      <c r="H64" s="11" t="str">
        <f>VLOOKUP(G64,'course-cluster'!$A$2:$C$137,3, FALSE)</f>
        <v>Built Environment</v>
      </c>
      <c r="I64" s="12" t="s">
        <v>358</v>
      </c>
    </row>
    <row r="65" spans="1:9" x14ac:dyDescent="0.55000000000000004">
      <c r="A65">
        <v>2014</v>
      </c>
      <c r="B65" t="s">
        <v>53</v>
      </c>
      <c r="C65" t="s">
        <v>77</v>
      </c>
      <c r="D65" t="s">
        <v>80</v>
      </c>
      <c r="E65">
        <v>97.1</v>
      </c>
      <c r="F65">
        <v>97.1</v>
      </c>
      <c r="G65" s="11" t="str" cm="1">
        <f t="array" ref="G65">TRIM(RemoveSpecial(D65))</f>
        <v>Bachelor of Engineering (Civil Engineering)</v>
      </c>
      <c r="H65" s="11" t="str">
        <f>VLOOKUP(G65,'course-cluster'!$A$2:$C$137,3, FALSE)</f>
        <v>Built Environment</v>
      </c>
      <c r="I65" s="12" t="s">
        <v>358</v>
      </c>
    </row>
    <row r="66" spans="1:9" x14ac:dyDescent="0.55000000000000004">
      <c r="A66">
        <v>2013</v>
      </c>
      <c r="B66" t="s">
        <v>53</v>
      </c>
      <c r="C66" t="s">
        <v>72</v>
      </c>
      <c r="D66" t="s">
        <v>75</v>
      </c>
      <c r="E66">
        <v>96.8</v>
      </c>
      <c r="F66">
        <v>96.8</v>
      </c>
      <c r="G66" s="11" t="str" cm="1">
        <f t="array" ref="G66">TRIM(RemoveSpecial(D66))</f>
        <v>Bachelor of Science (Project and Facilities Management)</v>
      </c>
      <c r="H66" s="11" t="str">
        <f>VLOOKUP(G66,'course-cluster'!$A$2:$C$137,3, FALSE)</f>
        <v>Built Environment</v>
      </c>
      <c r="I66" s="12" t="s">
        <v>358</v>
      </c>
    </row>
    <row r="67" spans="1:9" x14ac:dyDescent="0.55000000000000004">
      <c r="A67">
        <v>2015</v>
      </c>
      <c r="B67" t="s">
        <v>53</v>
      </c>
      <c r="C67" t="s">
        <v>77</v>
      </c>
      <c r="D67" t="s">
        <v>80</v>
      </c>
      <c r="E67">
        <v>96.5</v>
      </c>
      <c r="F67">
        <v>95.3</v>
      </c>
      <c r="G67" s="11" t="str" cm="1">
        <f t="array" ref="G67">TRIM(RemoveSpecial(D67))</f>
        <v>Bachelor of Engineering (Civil Engineering)</v>
      </c>
      <c r="H67" s="11" t="str">
        <f>VLOOKUP(G67,'course-cluster'!$A$2:$C$137,3, FALSE)</f>
        <v>Built Environment</v>
      </c>
      <c r="I67" s="12" t="s">
        <v>358</v>
      </c>
    </row>
    <row r="68" spans="1:9" x14ac:dyDescent="0.55000000000000004">
      <c r="A68">
        <v>2013</v>
      </c>
      <c r="B68" t="s">
        <v>53</v>
      </c>
      <c r="C68" t="s">
        <v>77</v>
      </c>
      <c r="D68" t="s">
        <v>80</v>
      </c>
      <c r="E68">
        <v>96.1</v>
      </c>
      <c r="F68">
        <v>94.1</v>
      </c>
      <c r="G68" s="11" t="str" cm="1">
        <f t="array" ref="G68">TRIM(RemoveSpecial(D68))</f>
        <v>Bachelor of Engineering (Civil Engineering)</v>
      </c>
      <c r="H68" s="11" t="str">
        <f>VLOOKUP(G68,'course-cluster'!$A$2:$C$137,3, FALSE)</f>
        <v>Built Environment</v>
      </c>
      <c r="I68" s="12" t="s">
        <v>358</v>
      </c>
    </row>
    <row r="69" spans="1:9" x14ac:dyDescent="0.55000000000000004">
      <c r="A69">
        <v>2017</v>
      </c>
      <c r="B69" t="s">
        <v>53</v>
      </c>
      <c r="C69" t="s">
        <v>226</v>
      </c>
      <c r="D69" t="s">
        <v>80</v>
      </c>
      <c r="E69">
        <v>95.5</v>
      </c>
      <c r="F69">
        <v>90.9</v>
      </c>
      <c r="G69" s="11" t="str" cm="1">
        <f t="array" ref="G69">TRIM(RemoveSpecial(D69))</f>
        <v>Bachelor of Engineering (Civil Engineering)</v>
      </c>
      <c r="H69" s="11" t="str">
        <f>VLOOKUP(G69,'course-cluster'!$A$2:$C$137,3, FALSE)</f>
        <v>Built Environment</v>
      </c>
      <c r="I69" s="12" t="s">
        <v>358</v>
      </c>
    </row>
    <row r="70" spans="1:9" x14ac:dyDescent="0.55000000000000004">
      <c r="A70">
        <v>2016</v>
      </c>
      <c r="B70" t="s">
        <v>53</v>
      </c>
      <c r="C70" t="s">
        <v>226</v>
      </c>
      <c r="D70" t="s">
        <v>80</v>
      </c>
      <c r="E70">
        <v>95.3</v>
      </c>
      <c r="F70">
        <v>91.9</v>
      </c>
      <c r="G70" s="11" t="str" cm="1">
        <f t="array" ref="G70">TRIM(RemoveSpecial(D70))</f>
        <v>Bachelor of Engineering (Civil Engineering)</v>
      </c>
      <c r="H70" s="11" t="str">
        <f>VLOOKUP(G70,'course-cluster'!$A$2:$C$137,3, FALSE)</f>
        <v>Built Environment</v>
      </c>
      <c r="I70" s="12" t="s">
        <v>358</v>
      </c>
    </row>
    <row r="71" spans="1:9" x14ac:dyDescent="0.55000000000000004">
      <c r="A71">
        <v>2014</v>
      </c>
      <c r="B71" t="s">
        <v>53</v>
      </c>
      <c r="C71" t="s">
        <v>72</v>
      </c>
      <c r="D71" t="s">
        <v>75</v>
      </c>
      <c r="E71">
        <v>95.3</v>
      </c>
      <c r="F71">
        <v>94.1</v>
      </c>
      <c r="G71" s="11" t="str" cm="1">
        <f t="array" ref="G71">TRIM(RemoveSpecial(D71))</f>
        <v>Bachelor of Science (Project and Facilities Management)</v>
      </c>
      <c r="H71" s="11" t="str">
        <f>VLOOKUP(G71,'course-cluster'!$A$2:$C$137,3, FALSE)</f>
        <v>Built Environment</v>
      </c>
      <c r="I71" s="12" t="s">
        <v>358</v>
      </c>
    </row>
    <row r="72" spans="1:9" x14ac:dyDescent="0.55000000000000004">
      <c r="A72">
        <v>2019</v>
      </c>
      <c r="B72" t="s">
        <v>53</v>
      </c>
      <c r="C72" t="s">
        <v>72</v>
      </c>
      <c r="D72" t="s">
        <v>465</v>
      </c>
      <c r="E72">
        <v>95.3</v>
      </c>
      <c r="F72">
        <v>89.600000000000009</v>
      </c>
      <c r="G72" s="11" t="str" cm="1">
        <f t="array" ref="G72">TRIM(RemoveSpecial(D72))</f>
        <v>Bachelor of Science (Real Estate)</v>
      </c>
      <c r="H72" s="11" t="str">
        <f>VLOOKUP(G72,'course-cluster'!$A$2:$C$137,3, FALSE)</f>
        <v>Built Environment</v>
      </c>
      <c r="I72" s="12" t="s">
        <v>358</v>
      </c>
    </row>
    <row r="73" spans="1:9" x14ac:dyDescent="0.55000000000000004">
      <c r="A73">
        <v>2019</v>
      </c>
      <c r="B73" t="s">
        <v>53</v>
      </c>
      <c r="C73" t="s">
        <v>77</v>
      </c>
      <c r="D73" t="s">
        <v>444</v>
      </c>
      <c r="E73">
        <v>95</v>
      </c>
      <c r="F73">
        <v>93</v>
      </c>
      <c r="G73" s="11" t="str" cm="1">
        <f t="array" ref="G73">TRIM(RemoveSpecial(D73))</f>
        <v>Bachelor of Engineering (Civil Engineering)</v>
      </c>
      <c r="H73" s="11" t="str">
        <f>VLOOKUP(G73,'course-cluster'!$A$2:$C$137,3, FALSE)</f>
        <v>Built Environment</v>
      </c>
      <c r="I73" s="12" t="s">
        <v>358</v>
      </c>
    </row>
    <row r="74" spans="1:9" x14ac:dyDescent="0.55000000000000004">
      <c r="A74">
        <v>2016</v>
      </c>
      <c r="B74" t="s">
        <v>53</v>
      </c>
      <c r="C74" t="s">
        <v>231</v>
      </c>
      <c r="D74" t="s">
        <v>76</v>
      </c>
      <c r="E74">
        <v>94.6</v>
      </c>
      <c r="F74">
        <v>92.4</v>
      </c>
      <c r="G74" s="11" t="str" cm="1">
        <f t="array" ref="G74">TRIM(RemoveSpecial(D74))</f>
        <v>Bachelor of Science (Real Estate)</v>
      </c>
      <c r="H74" s="11" t="str">
        <f>VLOOKUP(G74,'course-cluster'!$A$2:$C$137,3, FALSE)</f>
        <v>Built Environment</v>
      </c>
      <c r="I74" s="12" t="s">
        <v>358</v>
      </c>
    </row>
    <row r="75" spans="1:9" x14ac:dyDescent="0.55000000000000004">
      <c r="A75">
        <v>2015</v>
      </c>
      <c r="B75" t="s">
        <v>53</v>
      </c>
      <c r="C75" t="s">
        <v>72</v>
      </c>
      <c r="D75" t="s">
        <v>75</v>
      </c>
      <c r="E75">
        <v>94.3</v>
      </c>
      <c r="F75">
        <v>90.8</v>
      </c>
      <c r="G75" s="11" t="str" cm="1">
        <f t="array" ref="G75">TRIM(RemoveSpecial(D75))</f>
        <v>Bachelor of Science (Project and Facilities Management)</v>
      </c>
      <c r="H75" s="11" t="str">
        <f>VLOOKUP(G75,'course-cluster'!$A$2:$C$137,3, FALSE)</f>
        <v>Built Environment</v>
      </c>
      <c r="I75" s="12" t="s">
        <v>358</v>
      </c>
    </row>
    <row r="76" spans="1:9" x14ac:dyDescent="0.55000000000000004">
      <c r="A76">
        <v>2015</v>
      </c>
      <c r="B76" t="s">
        <v>53</v>
      </c>
      <c r="C76" t="s">
        <v>72</v>
      </c>
      <c r="D76" t="s">
        <v>76</v>
      </c>
      <c r="E76">
        <v>93.9</v>
      </c>
      <c r="F76">
        <v>89.6</v>
      </c>
      <c r="G76" s="11" t="str" cm="1">
        <f t="array" ref="G76">TRIM(RemoveSpecial(D76))</f>
        <v>Bachelor of Science (Real Estate)</v>
      </c>
      <c r="H76" s="11" t="str">
        <f>VLOOKUP(G76,'course-cluster'!$A$2:$C$137,3, FALSE)</f>
        <v>Built Environment</v>
      </c>
      <c r="I76" s="12" t="s">
        <v>358</v>
      </c>
    </row>
    <row r="77" spans="1:9" x14ac:dyDescent="0.55000000000000004">
      <c r="A77">
        <v>2017</v>
      </c>
      <c r="B77" t="s">
        <v>53</v>
      </c>
      <c r="C77" t="s">
        <v>231</v>
      </c>
      <c r="D77" t="s">
        <v>76</v>
      </c>
      <c r="E77">
        <v>93.8</v>
      </c>
      <c r="F77">
        <v>88.7</v>
      </c>
      <c r="G77" s="11" t="str" cm="1">
        <f t="array" ref="G77">TRIM(RemoveSpecial(D77))</f>
        <v>Bachelor of Science (Real Estate)</v>
      </c>
      <c r="H77" s="11" t="str">
        <f>VLOOKUP(G77,'course-cluster'!$A$2:$C$137,3, FALSE)</f>
        <v>Built Environment</v>
      </c>
      <c r="I77" s="12" t="s">
        <v>358</v>
      </c>
    </row>
    <row r="78" spans="1:9" x14ac:dyDescent="0.55000000000000004">
      <c r="A78">
        <v>2016</v>
      </c>
      <c r="B78" t="s">
        <v>53</v>
      </c>
      <c r="C78" t="s">
        <v>231</v>
      </c>
      <c r="D78" t="s">
        <v>125</v>
      </c>
      <c r="E78">
        <v>93.2</v>
      </c>
      <c r="F78">
        <v>89.8</v>
      </c>
      <c r="G78" s="11" t="str" cm="1">
        <f t="array" ref="G78">TRIM(RemoveSpecial(D78))</f>
        <v>Bachelor of Arts (Architecture)</v>
      </c>
      <c r="H78" s="11" t="str">
        <f>VLOOKUP(G78,'course-cluster'!$A$2:$C$137,3, FALSE)</f>
        <v>Built Environment</v>
      </c>
      <c r="I78" s="12" t="s">
        <v>358</v>
      </c>
    </row>
    <row r="79" spans="1:9" x14ac:dyDescent="0.55000000000000004">
      <c r="A79">
        <v>2014</v>
      </c>
      <c r="B79" t="s">
        <v>53</v>
      </c>
      <c r="C79" t="s">
        <v>72</v>
      </c>
      <c r="D79" t="s">
        <v>76</v>
      </c>
      <c r="E79">
        <v>93.1</v>
      </c>
      <c r="F79">
        <v>89.2</v>
      </c>
      <c r="G79" s="11" t="str" cm="1">
        <f t="array" ref="G79">TRIM(RemoveSpecial(D79))</f>
        <v>Bachelor of Science (Real Estate)</v>
      </c>
      <c r="H79" s="11" t="str">
        <f>VLOOKUP(G79,'course-cluster'!$A$2:$C$137,3, FALSE)</f>
        <v>Built Environment</v>
      </c>
      <c r="I79" s="12" t="s">
        <v>358</v>
      </c>
    </row>
    <row r="80" spans="1:9" x14ac:dyDescent="0.55000000000000004">
      <c r="A80">
        <v>2019</v>
      </c>
      <c r="B80" t="s">
        <v>146</v>
      </c>
      <c r="C80" t="s">
        <v>330</v>
      </c>
      <c r="D80" t="s">
        <v>542</v>
      </c>
      <c r="E80">
        <v>92.5</v>
      </c>
      <c r="F80">
        <v>92.5</v>
      </c>
      <c r="G80" s="11" t="str" cm="1">
        <f t="array" ref="G80">TRIM(RemoveSpecial(D80))</f>
        <v>Bachelor of Engineering with Honours in Sustainable Infrastructure Engineering (Building Services)</v>
      </c>
      <c r="H80" s="11" t="str">
        <f>VLOOKUP(G80,'course-cluster'!$A$2:$C$137,3, FALSE)</f>
        <v>Built Environment</v>
      </c>
      <c r="I80" s="12" t="s">
        <v>358</v>
      </c>
    </row>
    <row r="81" spans="1:9" x14ac:dyDescent="0.55000000000000004">
      <c r="A81">
        <v>2018</v>
      </c>
      <c r="B81" t="s">
        <v>53</v>
      </c>
      <c r="C81" t="s">
        <v>77</v>
      </c>
      <c r="D81" t="s">
        <v>80</v>
      </c>
      <c r="E81">
        <v>91.8</v>
      </c>
      <c r="F81">
        <v>89.8</v>
      </c>
      <c r="G81" s="11" t="str" cm="1">
        <f t="array" ref="G81">TRIM(RemoveSpecial(D81))</f>
        <v>Bachelor of Engineering (Civil Engineering)</v>
      </c>
      <c r="H81" s="11" t="str">
        <f>VLOOKUP(G81,'course-cluster'!$A$2:$C$137,3, FALSE)</f>
        <v>Built Environment</v>
      </c>
      <c r="I81" s="12" t="s">
        <v>358</v>
      </c>
    </row>
    <row r="82" spans="1:9" x14ac:dyDescent="0.55000000000000004">
      <c r="A82">
        <v>2018</v>
      </c>
      <c r="B82" t="s">
        <v>53</v>
      </c>
      <c r="C82" t="s">
        <v>72</v>
      </c>
      <c r="D82" t="s">
        <v>76</v>
      </c>
      <c r="E82">
        <v>91.7</v>
      </c>
      <c r="F82">
        <v>85.1</v>
      </c>
      <c r="G82" s="11" t="str" cm="1">
        <f t="array" ref="G82">TRIM(RemoveSpecial(D82))</f>
        <v>Bachelor of Science (Real Estate)</v>
      </c>
      <c r="H82" s="11" t="str">
        <f>VLOOKUP(G82,'course-cluster'!$A$2:$C$137,3, FALSE)</f>
        <v>Built Environment</v>
      </c>
      <c r="I82" s="12" t="s">
        <v>358</v>
      </c>
    </row>
    <row r="83" spans="1:9" x14ac:dyDescent="0.55000000000000004">
      <c r="A83">
        <v>2017</v>
      </c>
      <c r="B83" t="s">
        <v>53</v>
      </c>
      <c r="C83" t="s">
        <v>231</v>
      </c>
      <c r="D83" t="s">
        <v>125</v>
      </c>
      <c r="E83">
        <v>91.3</v>
      </c>
      <c r="F83">
        <v>86.4</v>
      </c>
      <c r="G83" s="11" t="str" cm="1">
        <f t="array" ref="G83">TRIM(RemoveSpecial(D83))</f>
        <v>Bachelor of Arts (Architecture)</v>
      </c>
      <c r="H83" s="11" t="str">
        <f>VLOOKUP(G83,'course-cluster'!$A$2:$C$137,3, FALSE)</f>
        <v>Built Environment</v>
      </c>
      <c r="I83" s="12" t="s">
        <v>358</v>
      </c>
    </row>
    <row r="84" spans="1:9" x14ac:dyDescent="0.55000000000000004">
      <c r="A84">
        <v>2017</v>
      </c>
      <c r="B84" t="s">
        <v>53</v>
      </c>
      <c r="C84" t="s">
        <v>231</v>
      </c>
      <c r="D84" t="s">
        <v>75</v>
      </c>
      <c r="E84">
        <v>90.8</v>
      </c>
      <c r="F84">
        <v>81.7</v>
      </c>
      <c r="G84" s="11" t="str" cm="1">
        <f t="array" ref="G84">TRIM(RemoveSpecial(D84))</f>
        <v>Bachelor of Science (Project and Facilities Management)</v>
      </c>
      <c r="H84" s="11" t="str">
        <f>VLOOKUP(G84,'course-cluster'!$A$2:$C$137,3, FALSE)</f>
        <v>Built Environment</v>
      </c>
      <c r="I84" s="12" t="s">
        <v>358</v>
      </c>
    </row>
    <row r="85" spans="1:9" x14ac:dyDescent="0.55000000000000004">
      <c r="A85">
        <v>2013</v>
      </c>
      <c r="B85" t="s">
        <v>53</v>
      </c>
      <c r="C85" t="s">
        <v>72</v>
      </c>
      <c r="D85" t="s">
        <v>76</v>
      </c>
      <c r="E85">
        <v>89.2</v>
      </c>
      <c r="F85">
        <v>89.2</v>
      </c>
      <c r="G85" s="11" t="str" cm="1">
        <f t="array" ref="G85">TRIM(RemoveSpecial(D85))</f>
        <v>Bachelor of Science (Real Estate)</v>
      </c>
      <c r="H85" s="11" t="str">
        <f>VLOOKUP(G85,'course-cluster'!$A$2:$C$137,3, FALSE)</f>
        <v>Built Environment</v>
      </c>
      <c r="I85" s="12" t="s">
        <v>358</v>
      </c>
    </row>
    <row r="86" spans="1:9" x14ac:dyDescent="0.55000000000000004">
      <c r="A86">
        <v>2018</v>
      </c>
      <c r="B86" t="s">
        <v>53</v>
      </c>
      <c r="C86" t="s">
        <v>72</v>
      </c>
      <c r="D86" t="s">
        <v>75</v>
      </c>
      <c r="E86">
        <v>89</v>
      </c>
      <c r="F86">
        <v>84.6</v>
      </c>
      <c r="G86" s="11" t="str" cm="1">
        <f t="array" ref="G86">TRIM(RemoveSpecial(D86))</f>
        <v>Bachelor of Science (Project and Facilities Management)</v>
      </c>
      <c r="H86" s="11" t="str">
        <f>VLOOKUP(G86,'course-cluster'!$A$2:$C$137,3, FALSE)</f>
        <v>Built Environment</v>
      </c>
      <c r="I86" s="12" t="s">
        <v>358</v>
      </c>
    </row>
    <row r="87" spans="1:9" x14ac:dyDescent="0.55000000000000004">
      <c r="A87">
        <v>2019</v>
      </c>
      <c r="B87" t="s">
        <v>53</v>
      </c>
      <c r="C87" t="s">
        <v>72</v>
      </c>
      <c r="D87" t="s">
        <v>464</v>
      </c>
      <c r="E87">
        <v>88.3</v>
      </c>
      <c r="F87">
        <v>80.600000000000009</v>
      </c>
      <c r="G87" s="11" t="str" cm="1">
        <f t="array" ref="G87">TRIM(RemoveSpecial(D87))</f>
        <v>Bachelor of Science (Project and Facilities Management)</v>
      </c>
      <c r="H87" s="11" t="str">
        <f>VLOOKUP(G87,'course-cluster'!$A$2:$C$137,3, FALSE)</f>
        <v>Built Environment</v>
      </c>
      <c r="I87" s="12" t="s">
        <v>358</v>
      </c>
    </row>
    <row r="88" spans="1:9" x14ac:dyDescent="0.55000000000000004">
      <c r="A88">
        <v>2016</v>
      </c>
      <c r="B88" t="s">
        <v>53</v>
      </c>
      <c r="C88" t="s">
        <v>231</v>
      </c>
      <c r="D88" t="s">
        <v>75</v>
      </c>
      <c r="E88">
        <v>87.8</v>
      </c>
      <c r="F88">
        <v>84.7</v>
      </c>
      <c r="G88" s="11" t="str" cm="1">
        <f t="array" ref="G88">TRIM(RemoveSpecial(D88))</f>
        <v>Bachelor of Science (Project and Facilities Management)</v>
      </c>
      <c r="H88" s="11" t="str">
        <f>VLOOKUP(G88,'course-cluster'!$A$2:$C$137,3, FALSE)</f>
        <v>Built Environment</v>
      </c>
      <c r="I88" s="12" t="s">
        <v>358</v>
      </c>
    </row>
    <row r="89" spans="1:9" x14ac:dyDescent="0.55000000000000004">
      <c r="A89">
        <v>2019</v>
      </c>
      <c r="B89" t="s">
        <v>12</v>
      </c>
      <c r="C89" t="s">
        <v>13</v>
      </c>
      <c r="D89" t="s">
        <v>477</v>
      </c>
      <c r="E89">
        <v>97.899999999999991</v>
      </c>
      <c r="F89">
        <v>95.199999999999989</v>
      </c>
      <c r="G89" s="11" t="str" cm="1">
        <f t="array" ref="G89">TRIM(RemoveSpecial(D89))</f>
        <v>Accountancy and Business</v>
      </c>
      <c r="H89" s="11" t="e">
        <f>VLOOKUP(G89,'course-cluster'!$A$2:$C$137,3, FALSE)</f>
        <v>#N/A</v>
      </c>
      <c r="I89" s="12" t="s">
        <v>219</v>
      </c>
    </row>
    <row r="90" spans="1:9" x14ac:dyDescent="0.55000000000000004">
      <c r="A90">
        <v>2019</v>
      </c>
      <c r="B90" t="s">
        <v>53</v>
      </c>
      <c r="C90" t="s">
        <v>58</v>
      </c>
      <c r="D90" t="s">
        <v>455</v>
      </c>
      <c r="E90">
        <v>100</v>
      </c>
      <c r="F90">
        <v>82.6</v>
      </c>
      <c r="G90" s="11" t="str" cm="1">
        <f t="array" ref="G90">TRIM(RemoveSpecial(D90))</f>
        <v>Bachelor of Business Administration</v>
      </c>
      <c r="H90" s="11" t="str">
        <f>VLOOKUP(G90,'course-cluster'!$A$2:$C$137,3, FALSE)</f>
        <v>Business</v>
      </c>
      <c r="I90" s="12" t="s">
        <v>219</v>
      </c>
    </row>
    <row r="91" spans="1:9" x14ac:dyDescent="0.55000000000000004">
      <c r="A91">
        <v>2014</v>
      </c>
      <c r="B91" t="s">
        <v>53</v>
      </c>
      <c r="C91" t="s">
        <v>58</v>
      </c>
      <c r="D91" t="s">
        <v>62</v>
      </c>
      <c r="E91">
        <v>100</v>
      </c>
      <c r="F91">
        <v>96.3</v>
      </c>
      <c r="G91" s="11" t="str" cm="1">
        <f t="array" ref="G91">TRIM(RemoveSpecial(D91))</f>
        <v>Bachelor of Business Administration (Accountancy) (Hons)</v>
      </c>
      <c r="H91" s="11" t="str">
        <f>VLOOKUP(G91,'course-cluster'!$A$2:$C$137,3, FALSE)</f>
        <v>Business</v>
      </c>
      <c r="I91" s="12" t="s">
        <v>219</v>
      </c>
    </row>
    <row r="92" spans="1:9" x14ac:dyDescent="0.55000000000000004">
      <c r="A92">
        <v>2017</v>
      </c>
      <c r="B92" t="s">
        <v>53</v>
      </c>
      <c r="C92" t="s">
        <v>58</v>
      </c>
      <c r="D92" t="s">
        <v>62</v>
      </c>
      <c r="E92">
        <v>100</v>
      </c>
      <c r="F92">
        <v>100</v>
      </c>
      <c r="G92" s="11" t="str" cm="1">
        <f t="array" ref="G92">TRIM(RemoveSpecial(D92))</f>
        <v>Bachelor of Business Administration (Accountancy) (Hons)</v>
      </c>
      <c r="H92" s="11" t="str">
        <f>VLOOKUP(G92,'course-cluster'!$A$2:$C$137,3, FALSE)</f>
        <v>Business</v>
      </c>
      <c r="I92" s="12" t="s">
        <v>219</v>
      </c>
    </row>
    <row r="93" spans="1:9" x14ac:dyDescent="0.55000000000000004">
      <c r="A93">
        <v>2013</v>
      </c>
      <c r="B93" t="s">
        <v>12</v>
      </c>
      <c r="C93" t="s">
        <v>13</v>
      </c>
      <c r="D93" t="s">
        <v>14</v>
      </c>
      <c r="E93">
        <v>97.4</v>
      </c>
      <c r="F93">
        <v>96.1</v>
      </c>
      <c r="G93" s="11" t="str" cm="1">
        <f t="array" ref="G93">TRIM(RemoveSpecial(D93))</f>
        <v>Accountancy and Business</v>
      </c>
      <c r="H93" s="11" t="e">
        <f>VLOOKUP(G93,'course-cluster'!$A$2:$C$137,3, FALSE)</f>
        <v>#N/A</v>
      </c>
      <c r="I93" s="12" t="s">
        <v>219</v>
      </c>
    </row>
    <row r="94" spans="1:9" x14ac:dyDescent="0.55000000000000004">
      <c r="A94">
        <v>2016</v>
      </c>
      <c r="B94" t="s">
        <v>12</v>
      </c>
      <c r="C94" t="s">
        <v>13</v>
      </c>
      <c r="D94" t="s">
        <v>14</v>
      </c>
      <c r="E94">
        <v>97.4</v>
      </c>
      <c r="F94">
        <v>96.6</v>
      </c>
      <c r="G94" s="11" t="str" cm="1">
        <f t="array" ref="G94">TRIM(RemoveSpecial(D94))</f>
        <v>Accountancy and Business</v>
      </c>
      <c r="H94" s="11" t="e">
        <f>VLOOKUP(G94,'course-cluster'!$A$2:$C$137,3, FALSE)</f>
        <v>#N/A</v>
      </c>
      <c r="I94" s="12" t="s">
        <v>219</v>
      </c>
    </row>
    <row r="95" spans="1:9" x14ac:dyDescent="0.55000000000000004">
      <c r="A95">
        <v>2016</v>
      </c>
      <c r="B95" t="s">
        <v>103</v>
      </c>
      <c r="C95" t="s">
        <v>128</v>
      </c>
      <c r="D95" t="s">
        <v>197</v>
      </c>
      <c r="E95">
        <v>100</v>
      </c>
      <c r="F95">
        <v>100</v>
      </c>
      <c r="G95" s="11" t="str" cm="1">
        <f t="array" ref="G95">TRIM(RemoveSpecial(D95))</f>
        <v>Accountancy Cum Laude and above</v>
      </c>
      <c r="H95" s="11" t="e">
        <f>VLOOKUP(G95,'course-cluster'!$A$2:$C$137,3, FALSE)</f>
        <v>#N/A</v>
      </c>
      <c r="I95" s="12" t="s">
        <v>219</v>
      </c>
    </row>
    <row r="96" spans="1:9" x14ac:dyDescent="0.55000000000000004">
      <c r="A96">
        <v>2016</v>
      </c>
      <c r="B96" t="s">
        <v>53</v>
      </c>
      <c r="C96" t="s">
        <v>58</v>
      </c>
      <c r="D96" t="s">
        <v>62</v>
      </c>
      <c r="E96">
        <v>99</v>
      </c>
      <c r="F96">
        <v>99</v>
      </c>
      <c r="G96" s="11" t="str" cm="1">
        <f t="array" ref="G96">TRIM(RemoveSpecial(D96))</f>
        <v>Bachelor of Business Administration (Accountancy) (Hons)</v>
      </c>
      <c r="H96" s="11" t="str">
        <f>VLOOKUP(G96,'course-cluster'!$A$2:$C$137,3, FALSE)</f>
        <v>Business</v>
      </c>
      <c r="I96" s="12" t="s">
        <v>219</v>
      </c>
    </row>
    <row r="97" spans="1:9" x14ac:dyDescent="0.55000000000000004">
      <c r="A97">
        <v>2018</v>
      </c>
      <c r="B97" t="s">
        <v>347</v>
      </c>
      <c r="C97" t="s">
        <v>348</v>
      </c>
      <c r="D97" t="s">
        <v>349</v>
      </c>
      <c r="E97">
        <v>98.7</v>
      </c>
      <c r="F97">
        <v>97.5</v>
      </c>
      <c r="G97" s="11" t="str" cm="1">
        <f t="array" ref="G97">TRIM(RemoveSpecial(D97))</f>
        <v>Bachelor of Accountancy</v>
      </c>
      <c r="H97" s="11" t="str">
        <f>VLOOKUP(G97,'course-cluster'!$A$2:$C$137,3, FALSE)</f>
        <v>Business</v>
      </c>
      <c r="I97" s="12" t="s">
        <v>219</v>
      </c>
    </row>
    <row r="98" spans="1:9" x14ac:dyDescent="0.55000000000000004">
      <c r="A98">
        <v>2017</v>
      </c>
      <c r="B98" t="s">
        <v>103</v>
      </c>
      <c r="C98" t="s">
        <v>104</v>
      </c>
      <c r="D98" t="s">
        <v>197</v>
      </c>
      <c r="E98">
        <v>97.8</v>
      </c>
      <c r="F98">
        <v>97.8</v>
      </c>
      <c r="G98" s="11" t="str" cm="1">
        <f t="array" ref="G98">TRIM(RemoveSpecial(D98))</f>
        <v>Accountancy Cum Laude and above</v>
      </c>
      <c r="H98" s="11" t="e">
        <f>VLOOKUP(G98,'course-cluster'!$A$2:$C$137,3, FALSE)</f>
        <v>#N/A</v>
      </c>
      <c r="I98" s="12" t="s">
        <v>219</v>
      </c>
    </row>
    <row r="99" spans="1:9" x14ac:dyDescent="0.55000000000000004">
      <c r="A99">
        <v>2015</v>
      </c>
      <c r="B99" t="s">
        <v>53</v>
      </c>
      <c r="C99" t="s">
        <v>58</v>
      </c>
      <c r="D99" t="s">
        <v>62</v>
      </c>
      <c r="E99">
        <v>98.6</v>
      </c>
      <c r="F99">
        <v>98.6</v>
      </c>
      <c r="G99" s="11" t="str" cm="1">
        <f t="array" ref="G99">TRIM(RemoveSpecial(D99))</f>
        <v>Bachelor of Business Administration (Accountancy) (Hons)</v>
      </c>
      <c r="H99" s="11" t="str">
        <f>VLOOKUP(G99,'course-cluster'!$A$2:$C$137,3, FALSE)</f>
        <v>Business</v>
      </c>
      <c r="I99" s="12" t="s">
        <v>219</v>
      </c>
    </row>
    <row r="100" spans="1:9" x14ac:dyDescent="0.55000000000000004">
      <c r="A100">
        <v>2015</v>
      </c>
      <c r="B100" t="s">
        <v>103</v>
      </c>
      <c r="C100" t="s">
        <v>128</v>
      </c>
      <c r="D100" t="s">
        <v>197</v>
      </c>
      <c r="E100">
        <v>97.7</v>
      </c>
      <c r="F100">
        <v>97.7</v>
      </c>
      <c r="G100" s="11" t="str" cm="1">
        <f t="array" ref="G100">TRIM(RemoveSpecial(D100))</f>
        <v>Accountancy Cum Laude and above</v>
      </c>
      <c r="H100" s="11" t="e">
        <f>VLOOKUP(G100,'course-cluster'!$A$2:$C$137,3, FALSE)</f>
        <v>#N/A</v>
      </c>
      <c r="I100" s="12" t="s">
        <v>219</v>
      </c>
    </row>
    <row r="101" spans="1:9" x14ac:dyDescent="0.55000000000000004">
      <c r="A101">
        <v>2013</v>
      </c>
      <c r="B101" t="s">
        <v>12</v>
      </c>
      <c r="C101" t="s">
        <v>18</v>
      </c>
      <c r="D101" t="s">
        <v>19</v>
      </c>
      <c r="E101">
        <v>95.3</v>
      </c>
      <c r="F101">
        <v>95.3</v>
      </c>
      <c r="G101" s="11" t="str" cm="1">
        <f t="array" ref="G101">TRIM(RemoveSpecial(D101))</f>
        <v>Aerospace Engineering</v>
      </c>
      <c r="H101" s="11" t="e">
        <f>VLOOKUP(G101,'course-cluster'!$A$2:$C$137,3, FALSE)</f>
        <v>#N/A</v>
      </c>
      <c r="I101" s="12" t="s">
        <v>372</v>
      </c>
    </row>
    <row r="102" spans="1:9" x14ac:dyDescent="0.55000000000000004">
      <c r="A102">
        <v>2017</v>
      </c>
      <c r="B102" t="s">
        <v>53</v>
      </c>
      <c r="C102" t="s">
        <v>58</v>
      </c>
      <c r="D102" t="s">
        <v>60</v>
      </c>
      <c r="E102">
        <v>98.2</v>
      </c>
      <c r="F102">
        <v>93.6</v>
      </c>
      <c r="G102" s="11" t="str" cm="1">
        <f t="array" ref="G102">TRIM(RemoveSpecial(D102))</f>
        <v>Bachelor of Business Administration (Hons)</v>
      </c>
      <c r="H102" s="11" t="str">
        <f>VLOOKUP(G102,'course-cluster'!$A$2:$C$137,3, FALSE)</f>
        <v>Business</v>
      </c>
      <c r="I102" s="12" t="s">
        <v>219</v>
      </c>
    </row>
    <row r="103" spans="1:9" x14ac:dyDescent="0.55000000000000004">
      <c r="A103">
        <v>2018</v>
      </c>
      <c r="B103" t="s">
        <v>12</v>
      </c>
      <c r="C103" t="s">
        <v>18</v>
      </c>
      <c r="D103" t="s">
        <v>19</v>
      </c>
      <c r="E103">
        <v>95.3</v>
      </c>
      <c r="F103">
        <v>88.4</v>
      </c>
      <c r="G103" s="11" t="str" cm="1">
        <f t="array" ref="G103">TRIM(RemoveSpecial(D103))</f>
        <v>Aerospace Engineering</v>
      </c>
      <c r="H103" s="11" t="e">
        <f>VLOOKUP(G103,'course-cluster'!$A$2:$C$137,3, FALSE)</f>
        <v>#N/A</v>
      </c>
      <c r="I103" s="12" t="s">
        <v>372</v>
      </c>
    </row>
    <row r="104" spans="1:9" x14ac:dyDescent="0.55000000000000004">
      <c r="A104">
        <v>2019</v>
      </c>
      <c r="B104" t="s">
        <v>12</v>
      </c>
      <c r="C104" t="s">
        <v>18</v>
      </c>
      <c r="D104" t="s">
        <v>480</v>
      </c>
      <c r="E104">
        <v>87.5</v>
      </c>
      <c r="F104">
        <v>80.7</v>
      </c>
      <c r="G104" s="11" t="str" cm="1">
        <f t="array" ref="G104">TRIM(RemoveSpecial(D104))</f>
        <v>Aerospace Engineering</v>
      </c>
      <c r="H104" s="11" t="e">
        <f>VLOOKUP(G104,'course-cluster'!$A$2:$C$137,3, FALSE)</f>
        <v>#N/A</v>
      </c>
      <c r="I104" s="12" t="s">
        <v>372</v>
      </c>
    </row>
    <row r="105" spans="1:9" x14ac:dyDescent="0.55000000000000004">
      <c r="A105">
        <v>2015</v>
      </c>
      <c r="B105" t="s">
        <v>12</v>
      </c>
      <c r="C105" t="s">
        <v>18</v>
      </c>
      <c r="D105" t="s">
        <v>19</v>
      </c>
      <c r="E105">
        <v>86</v>
      </c>
      <c r="F105">
        <v>86</v>
      </c>
      <c r="G105" s="11" t="str" cm="1">
        <f t="array" ref="G105">TRIM(RemoveSpecial(D105))</f>
        <v>Aerospace Engineering</v>
      </c>
      <c r="H105" s="11" t="e">
        <f>VLOOKUP(G105,'course-cluster'!$A$2:$C$137,3, FALSE)</f>
        <v>#N/A</v>
      </c>
      <c r="I105" s="12" t="s">
        <v>372</v>
      </c>
    </row>
    <row r="106" spans="1:9" x14ac:dyDescent="0.55000000000000004">
      <c r="A106">
        <v>2014</v>
      </c>
      <c r="B106" t="s">
        <v>12</v>
      </c>
      <c r="C106" t="s">
        <v>18</v>
      </c>
      <c r="D106" t="s">
        <v>19</v>
      </c>
      <c r="E106">
        <v>84.6</v>
      </c>
      <c r="F106">
        <v>82.7</v>
      </c>
      <c r="G106" s="11" t="str" cm="1">
        <f t="array" ref="G106">TRIM(RemoveSpecial(D106))</f>
        <v>Aerospace Engineering</v>
      </c>
      <c r="H106" s="11" t="e">
        <f>VLOOKUP(G106,'course-cluster'!$A$2:$C$137,3, FALSE)</f>
        <v>#N/A</v>
      </c>
      <c r="I106" s="12" t="s">
        <v>372</v>
      </c>
    </row>
    <row r="107" spans="1:9" x14ac:dyDescent="0.55000000000000004">
      <c r="A107">
        <v>2015</v>
      </c>
      <c r="B107" t="s">
        <v>53</v>
      </c>
      <c r="C107" t="s">
        <v>58</v>
      </c>
      <c r="D107" t="s">
        <v>61</v>
      </c>
      <c r="E107">
        <v>97.6</v>
      </c>
      <c r="F107">
        <v>97.6</v>
      </c>
      <c r="G107" s="11" t="str" cm="1">
        <f t="array" ref="G107">TRIM(RemoveSpecial(D107))</f>
        <v>Bachelor of Business Administration (Accountancy)</v>
      </c>
      <c r="H107" s="11" t="str">
        <f>VLOOKUP(G107,'course-cluster'!$A$2:$C$137,3, FALSE)</f>
        <v>Business</v>
      </c>
      <c r="I107" s="12" t="s">
        <v>219</v>
      </c>
    </row>
    <row r="108" spans="1:9" x14ac:dyDescent="0.55000000000000004">
      <c r="A108">
        <v>2018</v>
      </c>
      <c r="B108" t="s">
        <v>53</v>
      </c>
      <c r="C108" t="s">
        <v>58</v>
      </c>
      <c r="D108" t="s">
        <v>62</v>
      </c>
      <c r="E108">
        <v>97.6</v>
      </c>
      <c r="F108">
        <v>95.3</v>
      </c>
      <c r="G108" s="11" t="str" cm="1">
        <f t="array" ref="G108">TRIM(RemoveSpecial(D108))</f>
        <v>Bachelor of Business Administration (Accountancy) (Hons)</v>
      </c>
      <c r="H108" s="11" t="str">
        <f>VLOOKUP(G108,'course-cluster'!$A$2:$C$137,3, FALSE)</f>
        <v>Business</v>
      </c>
      <c r="I108" s="12" t="s">
        <v>219</v>
      </c>
    </row>
    <row r="109" spans="1:9" x14ac:dyDescent="0.55000000000000004">
      <c r="A109">
        <v>2016</v>
      </c>
      <c r="B109" t="s">
        <v>12</v>
      </c>
      <c r="C109" t="s">
        <v>18</v>
      </c>
      <c r="D109" t="s">
        <v>19</v>
      </c>
      <c r="E109">
        <v>82.4</v>
      </c>
      <c r="F109">
        <v>77.900000000000006</v>
      </c>
      <c r="G109" s="11" t="str" cm="1">
        <f t="array" ref="G109">TRIM(RemoveSpecial(D109))</f>
        <v>Aerospace Engineering</v>
      </c>
      <c r="H109" s="11" t="e">
        <f>VLOOKUP(G109,'course-cluster'!$A$2:$C$137,3, FALSE)</f>
        <v>#N/A</v>
      </c>
      <c r="I109" s="12" t="s">
        <v>372</v>
      </c>
    </row>
    <row r="110" spans="1:9" x14ac:dyDescent="0.55000000000000004">
      <c r="A110">
        <v>2018</v>
      </c>
      <c r="B110" t="s">
        <v>12</v>
      </c>
      <c r="C110" t="s">
        <v>31</v>
      </c>
      <c r="D110" t="s">
        <v>32</v>
      </c>
      <c r="E110">
        <v>85.7</v>
      </c>
      <c r="F110">
        <v>53.8</v>
      </c>
      <c r="G110" s="11" t="str" cm="1">
        <f t="array" ref="G110">TRIM(RemoveSpecial(D110))</f>
        <v>Art, Design Media</v>
      </c>
      <c r="H110" s="11" t="e">
        <f>VLOOKUP(G110,'course-cluster'!$A$2:$C$137,3, FALSE)</f>
        <v>#N/A</v>
      </c>
      <c r="I110" s="12" t="s">
        <v>354</v>
      </c>
    </row>
    <row r="111" spans="1:9" x14ac:dyDescent="0.55000000000000004">
      <c r="A111">
        <v>2019</v>
      </c>
      <c r="B111" t="s">
        <v>12</v>
      </c>
      <c r="C111" t="s">
        <v>31</v>
      </c>
      <c r="D111" t="s">
        <v>492</v>
      </c>
      <c r="E111">
        <v>83.6</v>
      </c>
      <c r="F111">
        <v>50.9</v>
      </c>
      <c r="G111" s="11" t="str" cm="1">
        <f t="array" ref="G111">TRIM(RemoveSpecial(D111))</f>
        <v>Art, Design Media</v>
      </c>
      <c r="H111" s="11" t="e">
        <f>VLOOKUP(G111,'course-cluster'!$A$2:$C$137,3, FALSE)</f>
        <v>#N/A</v>
      </c>
      <c r="I111" s="12" t="s">
        <v>354</v>
      </c>
    </row>
    <row r="112" spans="1:9" x14ac:dyDescent="0.55000000000000004">
      <c r="A112">
        <v>2013</v>
      </c>
      <c r="B112" t="s">
        <v>12</v>
      </c>
      <c r="C112" t="s">
        <v>31</v>
      </c>
      <c r="D112" t="s">
        <v>32</v>
      </c>
      <c r="E112">
        <v>81.599999999999994</v>
      </c>
      <c r="F112">
        <v>61.4</v>
      </c>
      <c r="G112" s="11" t="str" cm="1">
        <f t="array" ref="G112">TRIM(RemoveSpecial(D112))</f>
        <v>Art, Design Media</v>
      </c>
      <c r="H112" s="11" t="e">
        <f>VLOOKUP(G112,'course-cluster'!$A$2:$C$137,3, FALSE)</f>
        <v>#N/A</v>
      </c>
      <c r="I112" s="12" t="s">
        <v>354</v>
      </c>
    </row>
    <row r="113" spans="1:9" x14ac:dyDescent="0.55000000000000004">
      <c r="A113">
        <v>2014</v>
      </c>
      <c r="B113" t="s">
        <v>12</v>
      </c>
      <c r="C113" t="s">
        <v>31</v>
      </c>
      <c r="D113" t="s">
        <v>32</v>
      </c>
      <c r="E113">
        <v>80</v>
      </c>
      <c r="F113">
        <v>68</v>
      </c>
      <c r="G113" s="11" t="str" cm="1">
        <f t="array" ref="G113">TRIM(RemoveSpecial(D113))</f>
        <v>Art, Design Media</v>
      </c>
      <c r="H113" s="11" t="e">
        <f>VLOOKUP(G113,'course-cluster'!$A$2:$C$137,3, FALSE)</f>
        <v>#N/A</v>
      </c>
      <c r="I113" s="12" t="s">
        <v>354</v>
      </c>
    </row>
    <row r="114" spans="1:9" x14ac:dyDescent="0.55000000000000004">
      <c r="A114">
        <v>2016</v>
      </c>
      <c r="B114" t="s">
        <v>12</v>
      </c>
      <c r="C114" t="s">
        <v>31</v>
      </c>
      <c r="D114" t="s">
        <v>32</v>
      </c>
      <c r="E114">
        <v>79.7</v>
      </c>
      <c r="F114">
        <v>46.6</v>
      </c>
      <c r="G114" s="11" t="str" cm="1">
        <f t="array" ref="G114">TRIM(RemoveSpecial(D114))</f>
        <v>Art, Design Media</v>
      </c>
      <c r="H114" s="11" t="e">
        <f>VLOOKUP(G114,'course-cluster'!$A$2:$C$137,3, FALSE)</f>
        <v>#N/A</v>
      </c>
      <c r="I114" s="12" t="s">
        <v>354</v>
      </c>
    </row>
    <row r="115" spans="1:9" x14ac:dyDescent="0.55000000000000004">
      <c r="A115">
        <v>2015</v>
      </c>
      <c r="B115" t="s">
        <v>12</v>
      </c>
      <c r="C115" t="s">
        <v>31</v>
      </c>
      <c r="D115" t="s">
        <v>32</v>
      </c>
      <c r="E115">
        <v>79.3</v>
      </c>
      <c r="F115">
        <v>56.9</v>
      </c>
      <c r="G115" s="11" t="str" cm="1">
        <f t="array" ref="G115">TRIM(RemoveSpecial(D115))</f>
        <v>Art, Design Media</v>
      </c>
      <c r="H115" s="11" t="e">
        <f>VLOOKUP(G115,'course-cluster'!$A$2:$C$137,3, FALSE)</f>
        <v>#N/A</v>
      </c>
      <c r="I115" s="12" t="s">
        <v>354</v>
      </c>
    </row>
    <row r="116" spans="1:9" x14ac:dyDescent="0.55000000000000004">
      <c r="A116">
        <v>2017</v>
      </c>
      <c r="B116" t="s">
        <v>53</v>
      </c>
      <c r="C116" t="s">
        <v>58</v>
      </c>
      <c r="D116" t="s">
        <v>61</v>
      </c>
      <c r="E116">
        <v>97.2</v>
      </c>
      <c r="F116">
        <v>94.4</v>
      </c>
      <c r="G116" s="11" t="str" cm="1">
        <f t="array" ref="G116">TRIM(RemoveSpecial(D116))</f>
        <v>Bachelor of Business Administration (Accountancy)</v>
      </c>
      <c r="H116" s="11" t="str">
        <f>VLOOKUP(G116,'course-cluster'!$A$2:$C$137,3, FALSE)</f>
        <v>Business</v>
      </c>
      <c r="I116" s="12" t="s">
        <v>219</v>
      </c>
    </row>
    <row r="117" spans="1:9" x14ac:dyDescent="0.55000000000000004">
      <c r="A117">
        <v>2013</v>
      </c>
      <c r="B117" t="s">
        <v>53</v>
      </c>
      <c r="C117" t="s">
        <v>58</v>
      </c>
      <c r="D117" t="s">
        <v>62</v>
      </c>
      <c r="E117">
        <v>97.2</v>
      </c>
      <c r="F117">
        <v>94.4</v>
      </c>
      <c r="G117" s="11" t="str" cm="1">
        <f t="array" ref="G117">TRIM(RemoveSpecial(D117))</f>
        <v>Bachelor of Business Administration (Accountancy) (Hons)</v>
      </c>
      <c r="H117" s="11" t="str">
        <f>VLOOKUP(G117,'course-cluster'!$A$2:$C$137,3, FALSE)</f>
        <v>Business</v>
      </c>
      <c r="I117" s="12" t="s">
        <v>219</v>
      </c>
    </row>
    <row r="118" spans="1:9" x14ac:dyDescent="0.55000000000000004">
      <c r="A118">
        <v>2017</v>
      </c>
      <c r="B118" t="s">
        <v>12</v>
      </c>
      <c r="C118" t="s">
        <v>13</v>
      </c>
      <c r="D118" t="s">
        <v>240</v>
      </c>
      <c r="E118">
        <v>97.2</v>
      </c>
      <c r="F118">
        <v>94.3</v>
      </c>
      <c r="G118" s="11" t="str" cm="1">
        <f t="array" ref="G118">TRIM(RemoveSpecial(D118))</f>
        <v>Double Degree in Bachelor of Accountancy (Hons) and Bachelor of Business (Hons)</v>
      </c>
      <c r="H118" s="11" t="str">
        <f>VLOOKUP(G118,'course-cluster'!$A$2:$C$137,3, FALSE)</f>
        <v>Business</v>
      </c>
      <c r="I118" s="12" t="s">
        <v>219</v>
      </c>
    </row>
    <row r="119" spans="1:9" x14ac:dyDescent="0.55000000000000004">
      <c r="A119">
        <v>2013</v>
      </c>
      <c r="B119" t="s">
        <v>12</v>
      </c>
      <c r="C119" t="s">
        <v>50</v>
      </c>
      <c r="D119" t="s">
        <v>52</v>
      </c>
      <c r="E119">
        <v>100</v>
      </c>
      <c r="F119">
        <v>100</v>
      </c>
      <c r="G119" s="11" t="str" cm="1">
        <f t="array" ref="G119">TRIM(RemoveSpecial(D119))</f>
        <v>Arts (with Education)</v>
      </c>
      <c r="H119" s="11" t="e">
        <f>VLOOKUP(G119,'course-cluster'!$A$2:$C$137,3, FALSE)</f>
        <v>#N/A</v>
      </c>
      <c r="I119" s="12" t="s">
        <v>354</v>
      </c>
    </row>
    <row r="120" spans="1:9" x14ac:dyDescent="0.55000000000000004">
      <c r="A120">
        <v>2017</v>
      </c>
      <c r="B120" t="s">
        <v>12</v>
      </c>
      <c r="C120" t="s">
        <v>13</v>
      </c>
      <c r="D120" t="s">
        <v>239</v>
      </c>
      <c r="E120">
        <v>97.1</v>
      </c>
      <c r="F120">
        <v>94.5</v>
      </c>
      <c r="G120" s="11" t="str" cm="1">
        <f t="array" ref="G120">TRIM(RemoveSpecial(D120))</f>
        <v>Bachelor of Accountancy (Hons)</v>
      </c>
      <c r="H120" s="11" t="str">
        <f>VLOOKUP(G120,'course-cluster'!$A$2:$C$137,3, FALSE)</f>
        <v>Business</v>
      </c>
      <c r="I120" s="12" t="s">
        <v>219</v>
      </c>
    </row>
    <row r="121" spans="1:9" x14ac:dyDescent="0.55000000000000004">
      <c r="A121">
        <v>2014</v>
      </c>
      <c r="B121" t="s">
        <v>12</v>
      </c>
      <c r="C121" t="s">
        <v>50</v>
      </c>
      <c r="D121" t="s">
        <v>52</v>
      </c>
      <c r="E121">
        <v>100</v>
      </c>
      <c r="F121">
        <v>100</v>
      </c>
      <c r="G121" s="11" t="str" cm="1">
        <f t="array" ref="G121">TRIM(RemoveSpecial(D121))</f>
        <v>Arts (with Education)</v>
      </c>
      <c r="H121" s="11" t="e">
        <f>VLOOKUP(G121,'course-cluster'!$A$2:$C$137,3, FALSE)</f>
        <v>#N/A</v>
      </c>
      <c r="I121" s="12" t="s">
        <v>354</v>
      </c>
    </row>
    <row r="122" spans="1:9" x14ac:dyDescent="0.55000000000000004">
      <c r="A122">
        <v>2018</v>
      </c>
      <c r="B122" t="s">
        <v>53</v>
      </c>
      <c r="C122" t="s">
        <v>58</v>
      </c>
      <c r="D122" t="s">
        <v>60</v>
      </c>
      <c r="E122">
        <v>96.6</v>
      </c>
      <c r="F122">
        <v>90.9</v>
      </c>
      <c r="G122" s="11" t="str" cm="1">
        <f t="array" ref="G122">TRIM(RemoveSpecial(D122))</f>
        <v>Bachelor of Business Administration (Hons)</v>
      </c>
      <c r="H122" s="11" t="str">
        <f>VLOOKUP(G122,'course-cluster'!$A$2:$C$137,3, FALSE)</f>
        <v>Business</v>
      </c>
      <c r="I122" s="12" t="s">
        <v>219</v>
      </c>
    </row>
    <row r="123" spans="1:9" x14ac:dyDescent="0.55000000000000004">
      <c r="A123">
        <v>2015</v>
      </c>
      <c r="B123" t="s">
        <v>12</v>
      </c>
      <c r="C123" t="s">
        <v>50</v>
      </c>
      <c r="D123" t="s">
        <v>52</v>
      </c>
      <c r="E123">
        <v>100</v>
      </c>
      <c r="F123">
        <v>100</v>
      </c>
      <c r="G123" s="11" t="str" cm="1">
        <f t="array" ref="G123">TRIM(RemoveSpecial(D123))</f>
        <v>Arts (with Education)</v>
      </c>
      <c r="H123" s="11" t="e">
        <f>VLOOKUP(G123,'course-cluster'!$A$2:$C$137,3, FALSE)</f>
        <v>#N/A</v>
      </c>
      <c r="I123" s="12" t="s">
        <v>354</v>
      </c>
    </row>
    <row r="124" spans="1:9" x14ac:dyDescent="0.55000000000000004">
      <c r="A124">
        <v>2016</v>
      </c>
      <c r="B124" t="s">
        <v>53</v>
      </c>
      <c r="C124" t="s">
        <v>58</v>
      </c>
      <c r="D124" t="s">
        <v>60</v>
      </c>
      <c r="E124">
        <v>96.4</v>
      </c>
      <c r="F124">
        <v>92.8</v>
      </c>
      <c r="G124" s="11" t="str" cm="1">
        <f t="array" ref="G124">TRIM(RemoveSpecial(D124))</f>
        <v>Bachelor of Business Administration (Hons)</v>
      </c>
      <c r="H124" s="11" t="str">
        <f>VLOOKUP(G124,'course-cluster'!$A$2:$C$137,3, FALSE)</f>
        <v>Business</v>
      </c>
      <c r="I124" s="12" t="s">
        <v>219</v>
      </c>
    </row>
    <row r="125" spans="1:9" x14ac:dyDescent="0.55000000000000004">
      <c r="A125">
        <v>2016</v>
      </c>
      <c r="B125" t="s">
        <v>12</v>
      </c>
      <c r="C125" t="s">
        <v>50</v>
      </c>
      <c r="D125" t="s">
        <v>52</v>
      </c>
      <c r="E125">
        <v>100</v>
      </c>
      <c r="F125">
        <v>100</v>
      </c>
      <c r="G125" s="11" t="str" cm="1">
        <f t="array" ref="G125">TRIM(RemoveSpecial(D125))</f>
        <v>Arts (with Education)</v>
      </c>
      <c r="H125" s="11" t="e">
        <f>VLOOKUP(G125,'course-cluster'!$A$2:$C$137,3, FALSE)</f>
        <v>#N/A</v>
      </c>
      <c r="I125" s="12" t="s">
        <v>354</v>
      </c>
    </row>
    <row r="126" spans="1:9" x14ac:dyDescent="0.55000000000000004">
      <c r="A126">
        <v>2018</v>
      </c>
      <c r="B126" t="s">
        <v>12</v>
      </c>
      <c r="C126" t="s">
        <v>50</v>
      </c>
      <c r="D126" t="s">
        <v>315</v>
      </c>
      <c r="E126">
        <v>100</v>
      </c>
      <c r="F126">
        <v>99.2</v>
      </c>
      <c r="G126" s="11" t="str" cm="1">
        <f t="array" ref="G126">TRIM(RemoveSpecial(D126))</f>
        <v>Arts (With Education)</v>
      </c>
      <c r="H126" s="11" t="e">
        <f>VLOOKUP(G126,'course-cluster'!$A$2:$C$137,3, FALSE)</f>
        <v>#N/A</v>
      </c>
      <c r="I126" s="12" t="s">
        <v>354</v>
      </c>
    </row>
    <row r="127" spans="1:9" x14ac:dyDescent="0.55000000000000004">
      <c r="A127">
        <v>2018</v>
      </c>
      <c r="B127" t="s">
        <v>146</v>
      </c>
      <c r="C127" t="s">
        <v>330</v>
      </c>
      <c r="D127" t="s">
        <v>301</v>
      </c>
      <c r="E127">
        <v>96.3</v>
      </c>
      <c r="F127">
        <v>91.5</v>
      </c>
      <c r="G127" s="11" t="str" cm="1">
        <f t="array" ref="G127">TRIM(RemoveSpecial(D127))</f>
        <v>Bachelor of Accountancy with Honours</v>
      </c>
      <c r="H127" s="11" t="str">
        <f>VLOOKUP(G127,'course-cluster'!$A$2:$C$137,3, FALSE)</f>
        <v>Business</v>
      </c>
      <c r="I127" s="12" t="s">
        <v>219</v>
      </c>
    </row>
    <row r="128" spans="1:9" x14ac:dyDescent="0.55000000000000004">
      <c r="A128">
        <v>2015</v>
      </c>
      <c r="B128" t="s">
        <v>53</v>
      </c>
      <c r="C128" t="s">
        <v>58</v>
      </c>
      <c r="D128" t="s">
        <v>60</v>
      </c>
      <c r="E128">
        <v>96</v>
      </c>
      <c r="F128">
        <v>93.1</v>
      </c>
      <c r="G128" s="11" t="str" cm="1">
        <f t="array" ref="G128">TRIM(RemoveSpecial(D128))</f>
        <v>Bachelor of Business Administration (Hons)</v>
      </c>
      <c r="H128" s="11" t="str">
        <f>VLOOKUP(G128,'course-cluster'!$A$2:$C$137,3, FALSE)</f>
        <v>Business</v>
      </c>
      <c r="I128" s="12" t="s">
        <v>219</v>
      </c>
    </row>
    <row r="129" spans="1:9" x14ac:dyDescent="0.55000000000000004">
      <c r="A129">
        <v>2018</v>
      </c>
      <c r="B129" t="s">
        <v>53</v>
      </c>
      <c r="C129" t="s">
        <v>58</v>
      </c>
      <c r="D129" t="s">
        <v>59</v>
      </c>
      <c r="E129">
        <v>95.7</v>
      </c>
      <c r="F129">
        <v>84.8</v>
      </c>
      <c r="G129" s="11" t="str" cm="1">
        <f t="array" ref="G129">TRIM(RemoveSpecial(D129))</f>
        <v>Bachelor of Business Administration</v>
      </c>
      <c r="H129" s="11" t="str">
        <f>VLOOKUP(G129,'course-cluster'!$A$2:$C$137,3, FALSE)</f>
        <v>Business</v>
      </c>
      <c r="I129" s="12" t="s">
        <v>219</v>
      </c>
    </row>
    <row r="130" spans="1:9" x14ac:dyDescent="0.55000000000000004">
      <c r="A130">
        <v>2019</v>
      </c>
      <c r="B130" t="s">
        <v>12</v>
      </c>
      <c r="C130" t="s">
        <v>504</v>
      </c>
      <c r="D130" t="s">
        <v>505</v>
      </c>
      <c r="E130">
        <v>100</v>
      </c>
      <c r="F130">
        <v>100</v>
      </c>
      <c r="G130" s="11" t="str" cm="1">
        <f t="array" ref="G130">TRIM(RemoveSpecial(D130))</f>
        <v>Arts (with Education)</v>
      </c>
      <c r="H130" s="11" t="e">
        <f>VLOOKUP(G130,'course-cluster'!$A$2:$C$137,3, FALSE)</f>
        <v>#N/A</v>
      </c>
      <c r="I130" s="12" t="s">
        <v>354</v>
      </c>
    </row>
    <row r="131" spans="1:9" x14ac:dyDescent="0.55000000000000004">
      <c r="A131">
        <v>2015</v>
      </c>
      <c r="B131" t="s">
        <v>146</v>
      </c>
      <c r="C131" t="s">
        <v>215</v>
      </c>
      <c r="D131" t="s">
        <v>216</v>
      </c>
      <c r="E131">
        <v>100</v>
      </c>
      <c r="F131">
        <v>100</v>
      </c>
      <c r="G131" s="11" t="str" cm="1">
        <f t="array" ref="G131">TRIM(RemoveSpecial(D131))</f>
        <v>Bachelor in Science (Diagnostic Radiography)</v>
      </c>
      <c r="H131" s="11" t="e">
        <f>VLOOKUP(G131,'course-cluster'!$A$2:$C$137,3, FALSE)</f>
        <v>#N/A</v>
      </c>
      <c r="I131" s="12" t="s">
        <v>384</v>
      </c>
    </row>
    <row r="132" spans="1:9" x14ac:dyDescent="0.55000000000000004">
      <c r="A132">
        <v>2017</v>
      </c>
      <c r="B132" t="s">
        <v>53</v>
      </c>
      <c r="C132" t="s">
        <v>58</v>
      </c>
      <c r="D132" t="s">
        <v>59</v>
      </c>
      <c r="E132">
        <v>94.9</v>
      </c>
      <c r="F132">
        <v>87.3</v>
      </c>
      <c r="G132" s="11" t="str" cm="1">
        <f t="array" ref="G132">TRIM(RemoveSpecial(D132))</f>
        <v>Bachelor of Business Administration</v>
      </c>
      <c r="H132" s="11" t="str">
        <f>VLOOKUP(G132,'course-cluster'!$A$2:$C$137,3, FALSE)</f>
        <v>Business</v>
      </c>
      <c r="I132" s="12" t="s">
        <v>219</v>
      </c>
    </row>
    <row r="133" spans="1:9" x14ac:dyDescent="0.55000000000000004">
      <c r="A133">
        <v>2018</v>
      </c>
      <c r="B133" t="s">
        <v>146</v>
      </c>
      <c r="C133" t="s">
        <v>337</v>
      </c>
      <c r="D133" t="s">
        <v>338</v>
      </c>
      <c r="E133">
        <v>95.8</v>
      </c>
      <c r="F133">
        <v>87.5</v>
      </c>
      <c r="G133" s="11" t="str" cm="1">
        <f t="array" ref="G133">TRIM(RemoveSpecial(D133))</f>
        <v>Bachelor in Science (Diagnostic Radiography)</v>
      </c>
      <c r="H133" s="11" t="e">
        <f>VLOOKUP(G133,'course-cluster'!$A$2:$C$137,3, FALSE)</f>
        <v>#N/A</v>
      </c>
      <c r="I133" s="12" t="s">
        <v>384</v>
      </c>
    </row>
    <row r="134" spans="1:9" x14ac:dyDescent="0.55000000000000004">
      <c r="A134">
        <v>2013</v>
      </c>
      <c r="B134" t="s">
        <v>53</v>
      </c>
      <c r="C134" t="s">
        <v>58</v>
      </c>
      <c r="D134" t="s">
        <v>60</v>
      </c>
      <c r="E134">
        <v>94.6</v>
      </c>
      <c r="F134">
        <v>90.3</v>
      </c>
      <c r="G134" s="11" t="str" cm="1">
        <f t="array" ref="G134">TRIM(RemoveSpecial(D134))</f>
        <v>Bachelor of Business Administration (Hons)</v>
      </c>
      <c r="H134" s="11" t="str">
        <f>VLOOKUP(G134,'course-cluster'!$A$2:$C$137,3, FALSE)</f>
        <v>Business</v>
      </c>
      <c r="I134" s="12" t="s">
        <v>219</v>
      </c>
    </row>
    <row r="135" spans="1:9" x14ac:dyDescent="0.55000000000000004">
      <c r="A135">
        <v>2014</v>
      </c>
      <c r="B135" t="s">
        <v>53</v>
      </c>
      <c r="C135" t="s">
        <v>58</v>
      </c>
      <c r="D135" t="s">
        <v>60</v>
      </c>
      <c r="E135">
        <v>94.4</v>
      </c>
      <c r="F135">
        <v>90.6</v>
      </c>
      <c r="G135" s="11" t="str" cm="1">
        <f t="array" ref="G135">TRIM(RemoveSpecial(D135))</f>
        <v>Bachelor of Business Administration (Hons)</v>
      </c>
      <c r="H135" s="11" t="str">
        <f>VLOOKUP(G135,'course-cluster'!$A$2:$C$137,3, FALSE)</f>
        <v>Business</v>
      </c>
      <c r="I135" s="12" t="s">
        <v>219</v>
      </c>
    </row>
    <row r="136" spans="1:9" x14ac:dyDescent="0.55000000000000004">
      <c r="A136">
        <v>2016</v>
      </c>
      <c r="B136" t="s">
        <v>146</v>
      </c>
      <c r="C136" t="s">
        <v>235</v>
      </c>
      <c r="D136" t="s">
        <v>216</v>
      </c>
      <c r="E136">
        <v>88.2</v>
      </c>
      <c r="F136">
        <v>88.2</v>
      </c>
      <c r="G136" s="11" t="str" cm="1">
        <f t="array" ref="G136">TRIM(RemoveSpecial(D136))</f>
        <v>Bachelor in Science (Diagnostic Radiography)</v>
      </c>
      <c r="H136" s="11" t="e">
        <f>VLOOKUP(G136,'course-cluster'!$A$2:$C$137,3, FALSE)</f>
        <v>#N/A</v>
      </c>
      <c r="I136" s="12" t="s">
        <v>384</v>
      </c>
    </row>
    <row r="137" spans="1:9" x14ac:dyDescent="0.55000000000000004">
      <c r="A137">
        <v>2017</v>
      </c>
      <c r="B137" t="s">
        <v>146</v>
      </c>
      <c r="C137" t="s">
        <v>146</v>
      </c>
      <c r="D137" t="s">
        <v>301</v>
      </c>
      <c r="E137">
        <v>94.1</v>
      </c>
      <c r="F137">
        <v>92.1</v>
      </c>
      <c r="G137" s="11" t="str" cm="1">
        <f t="array" ref="G137">TRIM(RemoveSpecial(D137))</f>
        <v>Bachelor of Accountancy with Honours</v>
      </c>
      <c r="H137" s="11" t="str">
        <f>VLOOKUP(G137,'course-cluster'!$A$2:$C$137,3, FALSE)</f>
        <v>Business</v>
      </c>
      <c r="I137" s="12" t="s">
        <v>219</v>
      </c>
    </row>
    <row r="138" spans="1:9" x14ac:dyDescent="0.55000000000000004">
      <c r="A138">
        <v>2018</v>
      </c>
      <c r="B138" t="s">
        <v>347</v>
      </c>
      <c r="C138" t="s">
        <v>348</v>
      </c>
      <c r="D138" t="s">
        <v>351</v>
      </c>
      <c r="E138">
        <v>94</v>
      </c>
      <c r="F138">
        <v>84</v>
      </c>
      <c r="G138" s="11" t="str" cm="1">
        <f t="array" ref="G138">TRIM(RemoveSpecial(D138))</f>
        <v>Bachelor of Science in Marketing</v>
      </c>
      <c r="H138" s="11" t="str">
        <f>VLOOKUP(G138,'course-cluster'!$A$2:$C$137,3, FALSE)</f>
        <v>Business</v>
      </c>
      <c r="I138" s="12" t="s">
        <v>219</v>
      </c>
    </row>
    <row r="139" spans="1:9" x14ac:dyDescent="0.55000000000000004">
      <c r="A139">
        <v>2014</v>
      </c>
      <c r="B139" t="s">
        <v>53</v>
      </c>
      <c r="C139" t="s">
        <v>58</v>
      </c>
      <c r="D139" t="s">
        <v>61</v>
      </c>
      <c r="E139">
        <v>93.9</v>
      </c>
      <c r="F139">
        <v>89.8</v>
      </c>
      <c r="G139" s="11" t="str" cm="1">
        <f t="array" ref="G139">TRIM(RemoveSpecial(D139))</f>
        <v>Bachelor of Business Administration (Accountancy)</v>
      </c>
      <c r="H139" s="11" t="str">
        <f>VLOOKUP(G139,'course-cluster'!$A$2:$C$137,3, FALSE)</f>
        <v>Business</v>
      </c>
      <c r="I139" s="12" t="s">
        <v>219</v>
      </c>
    </row>
    <row r="140" spans="1:9" x14ac:dyDescent="0.55000000000000004">
      <c r="A140">
        <v>2019</v>
      </c>
      <c r="B140" t="s">
        <v>146</v>
      </c>
      <c r="C140" t="s">
        <v>330</v>
      </c>
      <c r="D140" t="s">
        <v>538</v>
      </c>
      <c r="E140">
        <v>93.7</v>
      </c>
      <c r="F140">
        <v>89.2</v>
      </c>
      <c r="G140" s="11" t="str" cm="1">
        <f t="array" ref="G140">TRIM(RemoveSpecial(D140))</f>
        <v>Bachelor of Accountancy with Honours</v>
      </c>
      <c r="H140" s="11" t="str">
        <f>VLOOKUP(G140,'course-cluster'!$A$2:$C$137,3, FALSE)</f>
        <v>Business</v>
      </c>
      <c r="I140" s="12" t="s">
        <v>219</v>
      </c>
    </row>
    <row r="141" spans="1:9" x14ac:dyDescent="0.55000000000000004">
      <c r="A141">
        <v>2014</v>
      </c>
      <c r="B141" t="s">
        <v>146</v>
      </c>
      <c r="C141" t="s">
        <v>167</v>
      </c>
      <c r="D141" t="s">
        <v>168</v>
      </c>
      <c r="E141">
        <v>100</v>
      </c>
      <c r="F141">
        <v>100</v>
      </c>
      <c r="G141" s="11" t="str" cm="1">
        <f t="array" ref="G141">TRIM(RemoveSpecial(D141))</f>
        <v>Bachelor in Science (Occupational Therapy)</v>
      </c>
      <c r="H141" s="11" t="e">
        <f>VLOOKUP(G141,'course-cluster'!$A$2:$C$137,3, FALSE)</f>
        <v>#N/A</v>
      </c>
      <c r="I141" s="12" t="s">
        <v>384</v>
      </c>
    </row>
    <row r="142" spans="1:9" x14ac:dyDescent="0.55000000000000004">
      <c r="A142">
        <v>2016</v>
      </c>
      <c r="B142" t="s">
        <v>53</v>
      </c>
      <c r="C142" t="s">
        <v>58</v>
      </c>
      <c r="D142" t="s">
        <v>59</v>
      </c>
      <c r="E142">
        <v>93.6</v>
      </c>
      <c r="F142">
        <v>80.7</v>
      </c>
      <c r="G142" s="11" t="str" cm="1">
        <f t="array" ref="G142">TRIM(RemoveSpecial(D142))</f>
        <v>Bachelor of Business Administration</v>
      </c>
      <c r="H142" s="11" t="str">
        <f>VLOOKUP(G142,'course-cluster'!$A$2:$C$137,3, FALSE)</f>
        <v>Business</v>
      </c>
      <c r="I142" s="12" t="s">
        <v>219</v>
      </c>
    </row>
    <row r="143" spans="1:9" x14ac:dyDescent="0.55000000000000004">
      <c r="A143">
        <v>2013</v>
      </c>
      <c r="B143" t="s">
        <v>53</v>
      </c>
      <c r="C143" t="s">
        <v>58</v>
      </c>
      <c r="D143" t="s">
        <v>61</v>
      </c>
      <c r="E143">
        <v>93.3</v>
      </c>
      <c r="F143">
        <v>88.9</v>
      </c>
      <c r="G143" s="11" t="str" cm="1">
        <f t="array" ref="G143">TRIM(RemoveSpecial(D143))</f>
        <v>Bachelor of Business Administration (Accountancy)</v>
      </c>
      <c r="H143" s="11" t="str">
        <f>VLOOKUP(G143,'course-cluster'!$A$2:$C$137,3, FALSE)</f>
        <v>Business</v>
      </c>
      <c r="I143" s="12" t="s">
        <v>219</v>
      </c>
    </row>
    <row r="144" spans="1:9" x14ac:dyDescent="0.55000000000000004">
      <c r="A144">
        <v>2017</v>
      </c>
      <c r="B144" t="s">
        <v>12</v>
      </c>
      <c r="C144" t="s">
        <v>13</v>
      </c>
      <c r="D144" t="s">
        <v>241</v>
      </c>
      <c r="E144">
        <v>93</v>
      </c>
      <c r="F144">
        <v>80.8</v>
      </c>
      <c r="G144" s="11" t="str" cm="1">
        <f t="array" ref="G144">TRIM(RemoveSpecial(D144))</f>
        <v>Bachelor of Business (Hons)</v>
      </c>
      <c r="H144" s="11" t="str">
        <f>VLOOKUP(G144,'course-cluster'!$A$2:$C$137,3, FALSE)</f>
        <v>Business</v>
      </c>
      <c r="I144" s="12" t="s">
        <v>219</v>
      </c>
    </row>
    <row r="145" spans="1:9" x14ac:dyDescent="0.55000000000000004">
      <c r="A145">
        <v>2015</v>
      </c>
      <c r="B145" t="s">
        <v>146</v>
      </c>
      <c r="C145" t="s">
        <v>165</v>
      </c>
      <c r="D145" t="s">
        <v>166</v>
      </c>
      <c r="E145">
        <v>92.6</v>
      </c>
      <c r="F145">
        <v>81.5</v>
      </c>
      <c r="G145" s="11" t="str" cm="1">
        <f t="array" ref="G145">TRIM(RemoveSpecial(D145))</f>
        <v>Bachelor of Professional Studies in Culinary Arts Management</v>
      </c>
      <c r="H145" s="11" t="str">
        <f>VLOOKUP(G145,'course-cluster'!$A$2:$C$137,3, FALSE)</f>
        <v>Business</v>
      </c>
      <c r="I145" s="12" t="s">
        <v>219</v>
      </c>
    </row>
    <row r="146" spans="1:9" x14ac:dyDescent="0.55000000000000004">
      <c r="A146">
        <v>2017</v>
      </c>
      <c r="B146" t="s">
        <v>12</v>
      </c>
      <c r="C146" t="s">
        <v>18</v>
      </c>
      <c r="D146" t="s">
        <v>257</v>
      </c>
      <c r="E146">
        <v>92.2</v>
      </c>
      <c r="F146">
        <v>92.2</v>
      </c>
      <c r="G146" s="11" t="str" cm="1">
        <f t="array" ref="G146">TRIM(RemoveSpecial(D146))</f>
        <v>Bachelor of Science (Hons) (Maritime Studies)</v>
      </c>
      <c r="H146" s="11" t="str">
        <f>VLOOKUP(G146,'course-cluster'!$A$2:$C$137,3, FALSE)</f>
        <v>Business</v>
      </c>
      <c r="I146" s="12" t="s">
        <v>219</v>
      </c>
    </row>
    <row r="147" spans="1:9" x14ac:dyDescent="0.55000000000000004">
      <c r="A147">
        <v>2018</v>
      </c>
      <c r="B147" t="s">
        <v>146</v>
      </c>
      <c r="C147" t="s">
        <v>330</v>
      </c>
      <c r="D147" t="s">
        <v>334</v>
      </c>
      <c r="E147">
        <v>92.1</v>
      </c>
      <c r="F147">
        <v>81.599999999999994</v>
      </c>
      <c r="G147" s="11" t="str" cm="1">
        <f t="array" ref="G147">TRIM(RemoveSpecial(D147))</f>
        <v>Bachelor of Hospitality Business with Honours</v>
      </c>
      <c r="H147" s="11" t="str">
        <f>VLOOKUP(G147,'course-cluster'!$A$2:$C$137,3, FALSE)</f>
        <v>Business</v>
      </c>
      <c r="I147" s="12" t="s">
        <v>219</v>
      </c>
    </row>
    <row r="148" spans="1:9" x14ac:dyDescent="0.55000000000000004">
      <c r="A148">
        <v>2019</v>
      </c>
      <c r="B148" t="s">
        <v>347</v>
      </c>
      <c r="C148" t="s">
        <v>348</v>
      </c>
      <c r="D148" t="s">
        <v>531</v>
      </c>
      <c r="E148">
        <v>91.100000000000009</v>
      </c>
      <c r="F148">
        <v>83.3</v>
      </c>
      <c r="G148" s="11" t="str" cm="1">
        <f t="array" ref="G148">TRIM(RemoveSpecial(D148))</f>
        <v>Bachelor of Accountancy</v>
      </c>
      <c r="H148" s="11" t="str">
        <f>VLOOKUP(G148,'course-cluster'!$A$2:$C$137,3, FALSE)</f>
        <v>Business</v>
      </c>
      <c r="I148" s="12" t="s">
        <v>219</v>
      </c>
    </row>
    <row r="149" spans="1:9" x14ac:dyDescent="0.55000000000000004">
      <c r="A149">
        <v>2015</v>
      </c>
      <c r="B149" t="s">
        <v>146</v>
      </c>
      <c r="C149" t="s">
        <v>167</v>
      </c>
      <c r="D149" t="s">
        <v>168</v>
      </c>
      <c r="E149">
        <v>100</v>
      </c>
      <c r="F149">
        <v>100</v>
      </c>
      <c r="G149" s="11" t="str" cm="1">
        <f t="array" ref="G149">TRIM(RemoveSpecial(D149))</f>
        <v>Bachelor in Science (Occupational Therapy)</v>
      </c>
      <c r="H149" s="11" t="e">
        <f>VLOOKUP(G149,'course-cluster'!$A$2:$C$137,3, FALSE)</f>
        <v>#N/A</v>
      </c>
      <c r="I149" s="12" t="s">
        <v>384</v>
      </c>
    </row>
    <row r="150" spans="1:9" x14ac:dyDescent="0.55000000000000004">
      <c r="A150">
        <v>2014</v>
      </c>
      <c r="B150" t="s">
        <v>146</v>
      </c>
      <c r="C150" t="s">
        <v>165</v>
      </c>
      <c r="D150" t="s">
        <v>166</v>
      </c>
      <c r="E150">
        <v>89.3</v>
      </c>
      <c r="F150">
        <v>89.3</v>
      </c>
      <c r="G150" s="11" t="str" cm="1">
        <f t="array" ref="G150">TRIM(RemoveSpecial(D150))</f>
        <v>Bachelor of Professional Studies in Culinary Arts Management</v>
      </c>
      <c r="H150" s="11" t="str">
        <f>VLOOKUP(G150,'course-cluster'!$A$2:$C$137,3, FALSE)</f>
        <v>Business</v>
      </c>
      <c r="I150" s="12" t="s">
        <v>219</v>
      </c>
    </row>
    <row r="151" spans="1:9" x14ac:dyDescent="0.55000000000000004">
      <c r="A151">
        <v>2013</v>
      </c>
      <c r="B151" t="s">
        <v>53</v>
      </c>
      <c r="C151" t="s">
        <v>58</v>
      </c>
      <c r="D151" t="s">
        <v>59</v>
      </c>
      <c r="E151">
        <v>88.7</v>
      </c>
      <c r="F151">
        <v>81.7</v>
      </c>
      <c r="G151" s="11" t="str" cm="1">
        <f t="array" ref="G151">TRIM(RemoveSpecial(D151))</f>
        <v>Bachelor of Business Administration</v>
      </c>
      <c r="H151" s="11" t="str">
        <f>VLOOKUP(G151,'course-cluster'!$A$2:$C$137,3, FALSE)</f>
        <v>Business</v>
      </c>
      <c r="I151" s="12" t="s">
        <v>219</v>
      </c>
    </row>
    <row r="152" spans="1:9" x14ac:dyDescent="0.55000000000000004">
      <c r="A152">
        <v>2016</v>
      </c>
      <c r="B152" t="s">
        <v>53</v>
      </c>
      <c r="C152" t="s">
        <v>58</v>
      </c>
      <c r="D152" t="s">
        <v>61</v>
      </c>
      <c r="E152">
        <v>88.6</v>
      </c>
      <c r="F152">
        <v>86.4</v>
      </c>
      <c r="G152" s="11" t="str" cm="1">
        <f t="array" ref="G152">TRIM(RemoveSpecial(D152))</f>
        <v>Bachelor of Business Administration (Accountancy)</v>
      </c>
      <c r="H152" s="11" t="str">
        <f>VLOOKUP(G152,'course-cluster'!$A$2:$C$137,3, FALSE)</f>
        <v>Business</v>
      </c>
      <c r="I152" s="12" t="s">
        <v>219</v>
      </c>
    </row>
    <row r="153" spans="1:9" x14ac:dyDescent="0.55000000000000004">
      <c r="A153">
        <v>2015</v>
      </c>
      <c r="B153" t="s">
        <v>53</v>
      </c>
      <c r="C153" t="s">
        <v>58</v>
      </c>
      <c r="D153" t="s">
        <v>59</v>
      </c>
      <c r="E153">
        <v>88.2</v>
      </c>
      <c r="F153">
        <v>80.3</v>
      </c>
      <c r="G153" s="11" t="str" cm="1">
        <f t="array" ref="G153">TRIM(RemoveSpecial(D153))</f>
        <v>Bachelor of Business Administration</v>
      </c>
      <c r="H153" s="11" t="str">
        <f>VLOOKUP(G153,'course-cluster'!$A$2:$C$137,3, FALSE)</f>
        <v>Business</v>
      </c>
      <c r="I153" s="12" t="s">
        <v>219</v>
      </c>
    </row>
    <row r="154" spans="1:9" x14ac:dyDescent="0.55000000000000004">
      <c r="A154">
        <v>2018</v>
      </c>
      <c r="B154" t="s">
        <v>347</v>
      </c>
      <c r="C154" t="s">
        <v>348</v>
      </c>
      <c r="D154" t="s">
        <v>350</v>
      </c>
      <c r="E154">
        <v>88</v>
      </c>
      <c r="F154">
        <v>84</v>
      </c>
      <c r="G154" s="11" t="str" cm="1">
        <f t="array" ref="G154">TRIM(RemoveSpecial(D154))</f>
        <v>Bachelor of Science in Finance</v>
      </c>
      <c r="H154" s="11" t="str">
        <f>VLOOKUP(G154,'course-cluster'!$A$2:$C$137,3, FALSE)</f>
        <v>Business</v>
      </c>
      <c r="I154" s="12" t="s">
        <v>219</v>
      </c>
    </row>
    <row r="155" spans="1:9" x14ac:dyDescent="0.55000000000000004">
      <c r="A155">
        <v>2014</v>
      </c>
      <c r="B155" t="s">
        <v>53</v>
      </c>
      <c r="C155" t="s">
        <v>58</v>
      </c>
      <c r="D155" t="s">
        <v>59</v>
      </c>
      <c r="E155">
        <v>87.9</v>
      </c>
      <c r="F155">
        <v>83.6</v>
      </c>
      <c r="G155" s="11" t="str" cm="1">
        <f t="array" ref="G155">TRIM(RemoveSpecial(D155))</f>
        <v>Bachelor of Business Administration</v>
      </c>
      <c r="H155" s="11" t="str">
        <f>VLOOKUP(G155,'course-cluster'!$A$2:$C$137,3, FALSE)</f>
        <v>Business</v>
      </c>
      <c r="I155" s="12" t="s">
        <v>219</v>
      </c>
    </row>
    <row r="156" spans="1:9" x14ac:dyDescent="0.55000000000000004">
      <c r="A156">
        <v>2017</v>
      </c>
      <c r="B156" t="s">
        <v>146</v>
      </c>
      <c r="C156" t="s">
        <v>165</v>
      </c>
      <c r="D156" t="s">
        <v>166</v>
      </c>
      <c r="E156">
        <v>87.9</v>
      </c>
      <c r="F156">
        <v>54.5</v>
      </c>
      <c r="G156" s="11" t="str" cm="1">
        <f t="array" ref="G156">TRIM(RemoveSpecial(D156))</f>
        <v>Bachelor of Professional Studies in Culinary Arts Management</v>
      </c>
      <c r="H156" s="11" t="str">
        <f>VLOOKUP(G156,'course-cluster'!$A$2:$C$137,3, FALSE)</f>
        <v>Business</v>
      </c>
      <c r="I156" s="12" t="s">
        <v>219</v>
      </c>
    </row>
    <row r="157" spans="1:9" x14ac:dyDescent="0.55000000000000004">
      <c r="A157">
        <v>2016</v>
      </c>
      <c r="B157" t="s">
        <v>146</v>
      </c>
      <c r="C157" t="s">
        <v>235</v>
      </c>
      <c r="D157" t="s">
        <v>168</v>
      </c>
      <c r="E157">
        <v>100</v>
      </c>
      <c r="F157">
        <v>100</v>
      </c>
      <c r="G157" s="11" t="str" cm="1">
        <f t="array" ref="G157">TRIM(RemoveSpecial(D157))</f>
        <v>Bachelor in Science (Occupational Therapy)</v>
      </c>
      <c r="H157" s="11" t="e">
        <f>VLOOKUP(G157,'course-cluster'!$A$2:$C$137,3, FALSE)</f>
        <v>#N/A</v>
      </c>
      <c r="I157" s="12" t="s">
        <v>384</v>
      </c>
    </row>
    <row r="158" spans="1:9" x14ac:dyDescent="0.55000000000000004">
      <c r="A158">
        <v>2018</v>
      </c>
      <c r="B158" t="s">
        <v>146</v>
      </c>
      <c r="C158" t="s">
        <v>165</v>
      </c>
      <c r="D158" t="s">
        <v>339</v>
      </c>
      <c r="E158">
        <v>86.5</v>
      </c>
      <c r="F158">
        <v>64.900000000000006</v>
      </c>
      <c r="G158" s="11" t="str" cm="1">
        <f t="array" ref="G158">TRIM(RemoveSpecial(D158))</f>
        <v>Bachelor of Business Administration in Food Business Management</v>
      </c>
      <c r="H158" s="11" t="str">
        <f>VLOOKUP(G158,'course-cluster'!$A$2:$C$137,3, FALSE)</f>
        <v>Business</v>
      </c>
      <c r="I158" s="12" t="s">
        <v>219</v>
      </c>
    </row>
    <row r="159" spans="1:9" x14ac:dyDescent="0.55000000000000004">
      <c r="A159">
        <v>2016</v>
      </c>
      <c r="B159" t="s">
        <v>146</v>
      </c>
      <c r="C159" t="s">
        <v>165</v>
      </c>
      <c r="D159" t="s">
        <v>166</v>
      </c>
      <c r="E159">
        <v>86.2</v>
      </c>
      <c r="F159">
        <v>69</v>
      </c>
      <c r="G159" s="11" t="str" cm="1">
        <f t="array" ref="G159">TRIM(RemoveSpecial(D159))</f>
        <v>Bachelor of Professional Studies in Culinary Arts Management</v>
      </c>
      <c r="H159" s="11" t="str">
        <f>VLOOKUP(G159,'course-cluster'!$A$2:$C$137,3, FALSE)</f>
        <v>Business</v>
      </c>
      <c r="I159" s="12" t="s">
        <v>219</v>
      </c>
    </row>
    <row r="160" spans="1:9" x14ac:dyDescent="0.55000000000000004">
      <c r="A160">
        <v>2019</v>
      </c>
      <c r="B160" t="s">
        <v>53</v>
      </c>
      <c r="C160" t="s">
        <v>58</v>
      </c>
      <c r="D160" t="s">
        <v>458</v>
      </c>
      <c r="E160">
        <v>97.8</v>
      </c>
      <c r="F160">
        <v>97.8</v>
      </c>
      <c r="G160" s="11" t="str" cm="1">
        <f t="array" ref="G160">TRIM(RemoveSpecial(D160))</f>
        <v>Bachelor of Business Administration (Accountancy) (Hons)</v>
      </c>
      <c r="H160" s="11" t="str">
        <f>VLOOKUP(G160,'course-cluster'!$A$2:$C$137,3, FALSE)</f>
        <v>Business</v>
      </c>
      <c r="I160" s="12" t="s">
        <v>219</v>
      </c>
    </row>
    <row r="161" spans="1:9" x14ac:dyDescent="0.55000000000000004">
      <c r="A161">
        <v>2019</v>
      </c>
      <c r="B161" t="s">
        <v>53</v>
      </c>
      <c r="C161" t="s">
        <v>58</v>
      </c>
      <c r="D161" t="s">
        <v>456</v>
      </c>
      <c r="E161">
        <v>95.5</v>
      </c>
      <c r="F161">
        <v>91</v>
      </c>
      <c r="G161" s="11" t="str" cm="1">
        <f t="array" ref="G161">TRIM(RemoveSpecial(D161))</f>
        <v>Bachelor of Business Administration (Hons)</v>
      </c>
      <c r="H161" s="11" t="str">
        <f>VLOOKUP(G161,'course-cluster'!$A$2:$C$137,3, FALSE)</f>
        <v>Business</v>
      </c>
      <c r="I161" s="12" t="s">
        <v>219</v>
      </c>
    </row>
    <row r="162" spans="1:9" x14ac:dyDescent="0.55000000000000004">
      <c r="A162">
        <v>2018</v>
      </c>
      <c r="B162" t="s">
        <v>53</v>
      </c>
      <c r="C162" t="s">
        <v>58</v>
      </c>
      <c r="D162" t="s">
        <v>320</v>
      </c>
      <c r="E162">
        <v>95.2</v>
      </c>
      <c r="F162">
        <v>95.2</v>
      </c>
      <c r="G162" s="11" t="str" cm="1">
        <f t="array" ref="G162">TRIM(RemoveSpecial(D162))</f>
        <v>Bachelor of Business Administration (Accountancy)</v>
      </c>
      <c r="H162" s="11" t="str">
        <f>VLOOKUP(G162,'course-cluster'!$A$2:$C$137,3, FALSE)</f>
        <v>Business</v>
      </c>
      <c r="I162" s="12" t="s">
        <v>219</v>
      </c>
    </row>
    <row r="163" spans="1:9" x14ac:dyDescent="0.55000000000000004">
      <c r="A163">
        <v>2017</v>
      </c>
      <c r="B163" t="s">
        <v>146</v>
      </c>
      <c r="C163" t="s">
        <v>146</v>
      </c>
      <c r="D163" t="s">
        <v>302</v>
      </c>
      <c r="E163">
        <v>94.7</v>
      </c>
      <c r="F163">
        <v>84.2</v>
      </c>
      <c r="G163" s="11" t="str" cm="1">
        <f t="array" ref="G163">TRIM(RemoveSpecial(D163))</f>
        <v>Bachelor of Hospitality Business with Honours</v>
      </c>
      <c r="H163" s="11" t="str">
        <f>VLOOKUP(G163,'course-cluster'!$A$2:$C$137,3, FALSE)</f>
        <v>Business</v>
      </c>
      <c r="I163" s="12" t="s">
        <v>219</v>
      </c>
    </row>
    <row r="164" spans="1:9" x14ac:dyDescent="0.55000000000000004">
      <c r="A164">
        <v>2019</v>
      </c>
      <c r="B164" t="s">
        <v>53</v>
      </c>
      <c r="C164" t="s">
        <v>58</v>
      </c>
      <c r="D164" t="s">
        <v>457</v>
      </c>
      <c r="E164">
        <v>93.8</v>
      </c>
      <c r="F164">
        <v>93.8</v>
      </c>
      <c r="G164" s="11" t="str" cm="1">
        <f t="array" ref="G164">TRIM(RemoveSpecial(D164))</f>
        <v>Bachelor of Business Administration (Accountancy)</v>
      </c>
      <c r="H164" s="11" t="str">
        <f>VLOOKUP(G164,'course-cluster'!$A$2:$C$137,3, FALSE)</f>
        <v>Business</v>
      </c>
      <c r="I164" s="12" t="s">
        <v>219</v>
      </c>
    </row>
    <row r="165" spans="1:9" x14ac:dyDescent="0.55000000000000004">
      <c r="A165">
        <v>2019</v>
      </c>
      <c r="B165" t="s">
        <v>146</v>
      </c>
      <c r="C165" t="s">
        <v>330</v>
      </c>
      <c r="D165" t="s">
        <v>545</v>
      </c>
      <c r="E165">
        <v>89.1</v>
      </c>
      <c r="F165">
        <v>74.599999999999994</v>
      </c>
      <c r="G165" s="11" t="str" cm="1">
        <f t="array" ref="G165">TRIM(RemoveSpecial(D165))</f>
        <v>Bachelor of Hospitality Business with Honours</v>
      </c>
      <c r="H165" s="11" t="str">
        <f>VLOOKUP(G165,'course-cluster'!$A$2:$C$137,3, FALSE)</f>
        <v>Business</v>
      </c>
      <c r="I165" s="12" t="s">
        <v>219</v>
      </c>
    </row>
    <row r="166" spans="1:9" x14ac:dyDescent="0.55000000000000004">
      <c r="A166">
        <v>2019</v>
      </c>
      <c r="B166" t="s">
        <v>347</v>
      </c>
      <c r="C166" t="s">
        <v>348</v>
      </c>
      <c r="D166" t="s">
        <v>532</v>
      </c>
      <c r="E166">
        <v>88.6</v>
      </c>
      <c r="F166">
        <v>88.6</v>
      </c>
      <c r="G166" s="11" t="str" cm="1">
        <f t="array" ref="G166">TRIM(RemoveSpecial(D166))</f>
        <v>Bachelor of Science in Finance</v>
      </c>
      <c r="H166" s="11" t="str">
        <f>VLOOKUP(G166,'course-cluster'!$A$2:$C$137,3, FALSE)</f>
        <v>Business</v>
      </c>
      <c r="I166" s="12" t="s">
        <v>219</v>
      </c>
    </row>
    <row r="167" spans="1:9" x14ac:dyDescent="0.55000000000000004">
      <c r="A167">
        <v>2019</v>
      </c>
      <c r="B167" t="s">
        <v>347</v>
      </c>
      <c r="C167" t="s">
        <v>348</v>
      </c>
      <c r="D167" t="s">
        <v>533</v>
      </c>
      <c r="E167">
        <v>88.3</v>
      </c>
      <c r="F167">
        <v>70</v>
      </c>
      <c r="G167" s="11" t="str" cm="1">
        <f t="array" ref="G167">TRIM(RemoveSpecial(D167))</f>
        <v>Bachelor of Science in Marketing</v>
      </c>
      <c r="H167" s="11" t="str">
        <f>VLOOKUP(G167,'course-cluster'!$A$2:$C$137,3, FALSE)</f>
        <v>Business</v>
      </c>
      <c r="I167" s="12" t="s">
        <v>219</v>
      </c>
    </row>
    <row r="168" spans="1:9" x14ac:dyDescent="0.55000000000000004">
      <c r="A168">
        <v>2019</v>
      </c>
      <c r="B168" t="s">
        <v>347</v>
      </c>
      <c r="C168" t="s">
        <v>529</v>
      </c>
      <c r="D168" t="s">
        <v>530</v>
      </c>
      <c r="E168">
        <v>87.1</v>
      </c>
      <c r="F168">
        <v>74.2</v>
      </c>
      <c r="G168" s="11" t="str" cm="1">
        <f t="array" ref="G168">TRIM(RemoveSpecial(D168))</f>
        <v>Bachelor of Human Resource Management</v>
      </c>
      <c r="H168" s="11" t="str">
        <f>VLOOKUP(G168,'course-cluster'!$A$2:$C$137,3, FALSE)</f>
        <v>Business</v>
      </c>
      <c r="I168" s="12" t="s">
        <v>219</v>
      </c>
    </row>
    <row r="169" spans="1:9" x14ac:dyDescent="0.55000000000000004">
      <c r="A169">
        <v>2019</v>
      </c>
      <c r="B169" t="s">
        <v>146</v>
      </c>
      <c r="C169" t="s">
        <v>165</v>
      </c>
      <c r="D169" t="s">
        <v>560</v>
      </c>
      <c r="E169">
        <v>81</v>
      </c>
      <c r="F169">
        <v>61.9</v>
      </c>
      <c r="G169" s="11" t="str" cm="1">
        <f t="array" ref="G169">TRIM(RemoveSpecial(D169))</f>
        <v>Bachelor of Business Administration in Food Business Management</v>
      </c>
      <c r="H169" s="11" t="str">
        <f>VLOOKUP(G169,'course-cluster'!$A$2:$C$137,3, FALSE)</f>
        <v>Business</v>
      </c>
      <c r="I169" s="12" t="s">
        <v>219</v>
      </c>
    </row>
    <row r="170" spans="1:9" x14ac:dyDescent="0.55000000000000004">
      <c r="A170">
        <v>2016</v>
      </c>
      <c r="B170" t="s">
        <v>207</v>
      </c>
      <c r="C170" t="s">
        <v>42</v>
      </c>
      <c r="D170" t="s">
        <v>209</v>
      </c>
      <c r="E170">
        <v>100</v>
      </c>
      <c r="F170">
        <v>93.5</v>
      </c>
      <c r="G170" s="11" t="str" cm="1">
        <f t="array" ref="G170">TRIM(RemoveSpecial(D170))</f>
        <v>Bachelor of Engineering (Engineering Systems and Design)</v>
      </c>
      <c r="H170" s="11" t="str">
        <f>VLOOKUP(G170,'course-cluster'!$A$2:$C$137,3, FALSE)</f>
        <v>Engineering</v>
      </c>
      <c r="I170" s="12" t="s">
        <v>372</v>
      </c>
    </row>
    <row r="171" spans="1:9" x14ac:dyDescent="0.55000000000000004">
      <c r="A171">
        <v>2015</v>
      </c>
      <c r="B171" t="s">
        <v>53</v>
      </c>
      <c r="C171" t="s">
        <v>77</v>
      </c>
      <c r="D171" t="s">
        <v>86</v>
      </c>
      <c r="E171">
        <v>100</v>
      </c>
      <c r="F171">
        <v>95</v>
      </c>
      <c r="G171" s="11" t="str" cm="1">
        <f t="array" ref="G171">TRIM(RemoveSpecial(D171))</f>
        <v>Bachelor of Engineering (Materials Science and Engineering)</v>
      </c>
      <c r="H171" s="11" t="str">
        <f>VLOOKUP(G171,'course-cluster'!$A$2:$C$137,3, FALSE)</f>
        <v>Engineering</v>
      </c>
      <c r="I171" s="12" t="s">
        <v>372</v>
      </c>
    </row>
    <row r="172" spans="1:9" x14ac:dyDescent="0.55000000000000004">
      <c r="A172">
        <v>2014</v>
      </c>
      <c r="B172" t="s">
        <v>146</v>
      </c>
      <c r="C172" t="s">
        <v>155</v>
      </c>
      <c r="D172" t="s">
        <v>159</v>
      </c>
      <c r="E172">
        <v>100</v>
      </c>
      <c r="F172">
        <v>94.1</v>
      </c>
      <c r="G172" s="11" t="str" cm="1">
        <f t="array" ref="G172">TRIM(RemoveSpecial(D172))</f>
        <v>Bachelor of Engineering with Honours in Naval Architecture</v>
      </c>
      <c r="H172" s="11" t="str">
        <f>VLOOKUP(G172,'course-cluster'!$A$2:$C$137,3, FALSE)</f>
        <v>Engineering</v>
      </c>
      <c r="I172" s="12" t="s">
        <v>372</v>
      </c>
    </row>
    <row r="173" spans="1:9" x14ac:dyDescent="0.55000000000000004">
      <c r="A173">
        <v>2015</v>
      </c>
      <c r="B173" t="s">
        <v>146</v>
      </c>
      <c r="C173" t="s">
        <v>155</v>
      </c>
      <c r="D173" t="s">
        <v>159</v>
      </c>
      <c r="E173">
        <v>100</v>
      </c>
      <c r="F173">
        <v>100</v>
      </c>
      <c r="G173" s="11" t="str" cm="1">
        <f t="array" ref="G173">TRIM(RemoveSpecial(D173))</f>
        <v>Bachelor of Engineering with Honours in Naval Architecture</v>
      </c>
      <c r="H173" s="11" t="str">
        <f>VLOOKUP(G173,'course-cluster'!$A$2:$C$137,3, FALSE)</f>
        <v>Engineering</v>
      </c>
      <c r="I173" s="12" t="s">
        <v>372</v>
      </c>
    </row>
    <row r="174" spans="1:9" x14ac:dyDescent="0.55000000000000004">
      <c r="A174">
        <v>2015</v>
      </c>
      <c r="B174" t="s">
        <v>146</v>
      </c>
      <c r="C174" t="s">
        <v>155</v>
      </c>
      <c r="D174" t="s">
        <v>160</v>
      </c>
      <c r="E174">
        <v>100</v>
      </c>
      <c r="F174">
        <v>94.7</v>
      </c>
      <c r="G174" s="11" t="str" cm="1">
        <f t="array" ref="G174">TRIM(RemoveSpecial(D174))</f>
        <v>Bachelor of Engineering with Honours in Offshore Engineering</v>
      </c>
      <c r="H174" s="11" t="str">
        <f>VLOOKUP(G174,'course-cluster'!$A$2:$C$137,3, FALSE)</f>
        <v>Engineering</v>
      </c>
      <c r="I174" s="12" t="s">
        <v>372</v>
      </c>
    </row>
    <row r="175" spans="1:9" x14ac:dyDescent="0.55000000000000004">
      <c r="A175">
        <v>2017</v>
      </c>
      <c r="B175" t="s">
        <v>146</v>
      </c>
      <c r="C175" t="s">
        <v>299</v>
      </c>
      <c r="D175" t="s">
        <v>168</v>
      </c>
      <c r="E175">
        <v>100</v>
      </c>
      <c r="F175">
        <v>97.1</v>
      </c>
      <c r="G175" s="11" t="str" cm="1">
        <f t="array" ref="G175">TRIM(RemoveSpecial(D175))</f>
        <v>Bachelor in Science (Occupational Therapy)</v>
      </c>
      <c r="H175" s="11" t="e">
        <f>VLOOKUP(G175,'course-cluster'!$A$2:$C$137,3, FALSE)</f>
        <v>#N/A</v>
      </c>
      <c r="I175" s="12" t="s">
        <v>384</v>
      </c>
    </row>
    <row r="176" spans="1:9" x14ac:dyDescent="0.55000000000000004">
      <c r="A176">
        <v>2019</v>
      </c>
      <c r="B176" t="s">
        <v>146</v>
      </c>
      <c r="C176" t="s">
        <v>548</v>
      </c>
      <c r="D176" t="s">
        <v>553</v>
      </c>
      <c r="E176">
        <v>100</v>
      </c>
      <c r="F176">
        <v>100</v>
      </c>
      <c r="G176" s="11" t="str" cm="1">
        <f t="array" ref="G176">TRIM(RemoveSpecial(D176))</f>
        <v>Bachelor of Engineering with Honours in Marine Engineering</v>
      </c>
      <c r="H176" s="11" t="str">
        <f>VLOOKUP(G176,'course-cluster'!$A$2:$C$137,3, FALSE)</f>
        <v>Engineering</v>
      </c>
      <c r="I176" s="12" t="s">
        <v>372</v>
      </c>
    </row>
    <row r="177" spans="1:9" x14ac:dyDescent="0.55000000000000004">
      <c r="A177">
        <v>2018</v>
      </c>
      <c r="B177" t="s">
        <v>146</v>
      </c>
      <c r="C177" t="s">
        <v>155</v>
      </c>
      <c r="D177" t="s">
        <v>297</v>
      </c>
      <c r="E177">
        <v>100</v>
      </c>
      <c r="F177">
        <v>100</v>
      </c>
      <c r="G177" s="11" t="str" cm="1">
        <f t="array" ref="G177">TRIM(RemoveSpecial(D177))</f>
        <v>Bachelor of Engineering with Honours in Naval Architecture</v>
      </c>
      <c r="H177" s="11" t="str">
        <f>VLOOKUP(G177,'course-cluster'!$A$2:$C$137,3, FALSE)</f>
        <v>Engineering</v>
      </c>
      <c r="I177" s="12" t="s">
        <v>372</v>
      </c>
    </row>
    <row r="178" spans="1:9" x14ac:dyDescent="0.55000000000000004">
      <c r="A178">
        <v>2017</v>
      </c>
      <c r="B178" t="s">
        <v>146</v>
      </c>
      <c r="C178" t="s">
        <v>155</v>
      </c>
      <c r="D178" t="s">
        <v>298</v>
      </c>
      <c r="E178">
        <v>100</v>
      </c>
      <c r="F178">
        <v>86.7</v>
      </c>
      <c r="G178" s="11" t="str" cm="1">
        <f t="array" ref="G178">TRIM(RemoveSpecial(D178))</f>
        <v>Bachelor of Engineering with Honours in Offshore Engineering</v>
      </c>
      <c r="H178" s="11" t="str">
        <f>VLOOKUP(G178,'course-cluster'!$A$2:$C$137,3, FALSE)</f>
        <v>Engineering</v>
      </c>
      <c r="I178" s="12" t="s">
        <v>372</v>
      </c>
    </row>
    <row r="179" spans="1:9" x14ac:dyDescent="0.55000000000000004">
      <c r="A179">
        <v>2019</v>
      </c>
      <c r="B179" t="s">
        <v>146</v>
      </c>
      <c r="C179" t="s">
        <v>330</v>
      </c>
      <c r="D179" t="s">
        <v>544</v>
      </c>
      <c r="E179">
        <v>100</v>
      </c>
      <c r="F179">
        <v>97</v>
      </c>
      <c r="G179" s="11" t="str" cm="1">
        <f t="array" ref="G179">TRIM(RemoveSpecial(D179))</f>
        <v>Bachelor of Engineering with Honours in Telematics (Intelligent Transportation Systems Engineering)</v>
      </c>
      <c r="H179" s="11" t="str">
        <f>VLOOKUP(G179,'course-cluster'!$A$2:$C$137,3, FALSE)</f>
        <v>Engineering</v>
      </c>
      <c r="I179" s="12" t="s">
        <v>372</v>
      </c>
    </row>
    <row r="180" spans="1:9" x14ac:dyDescent="0.55000000000000004">
      <c r="A180">
        <v>2018</v>
      </c>
      <c r="B180" t="s">
        <v>146</v>
      </c>
      <c r="C180" t="s">
        <v>330</v>
      </c>
      <c r="D180" t="s">
        <v>333</v>
      </c>
      <c r="E180">
        <v>98.3</v>
      </c>
      <c r="F180">
        <v>96.6</v>
      </c>
      <c r="G180" s="11" t="str" cm="1">
        <f t="array" ref="G180">TRIM(RemoveSpecial(D180))</f>
        <v>Bachelor of Engineering with Honours in Sustainable Infrastructure Engineering (Land)</v>
      </c>
      <c r="H180" s="11" t="str">
        <f>VLOOKUP(G180,'course-cluster'!$A$2:$C$137,3, FALSE)</f>
        <v>Engineering</v>
      </c>
      <c r="I180" s="12" t="s">
        <v>372</v>
      </c>
    </row>
    <row r="181" spans="1:9" x14ac:dyDescent="0.55000000000000004">
      <c r="A181">
        <v>2018</v>
      </c>
      <c r="B181" t="s">
        <v>146</v>
      </c>
      <c r="C181" t="s">
        <v>155</v>
      </c>
      <c r="D181" t="s">
        <v>157</v>
      </c>
      <c r="E181">
        <v>97.1</v>
      </c>
      <c r="F181">
        <v>94.3</v>
      </c>
      <c r="G181" s="11" t="str" cm="1">
        <f t="array" ref="G181">TRIM(RemoveSpecial(D181))</f>
        <v>Bachelor of Engineering with Honours in Marine Engineering</v>
      </c>
      <c r="H181" s="11" t="str">
        <f>VLOOKUP(G181,'course-cluster'!$A$2:$C$137,3, FALSE)</f>
        <v>Engineering</v>
      </c>
      <c r="I181" s="12" t="s">
        <v>372</v>
      </c>
    </row>
    <row r="182" spans="1:9" x14ac:dyDescent="0.55000000000000004">
      <c r="A182">
        <v>2017</v>
      </c>
      <c r="B182" t="s">
        <v>146</v>
      </c>
      <c r="C182" t="s">
        <v>170</v>
      </c>
      <c r="D182" t="s">
        <v>173</v>
      </c>
      <c r="E182">
        <v>96.6</v>
      </c>
      <c r="F182">
        <v>87.9</v>
      </c>
      <c r="G182" s="11" t="str" cm="1">
        <f t="array" ref="G182">TRIM(RemoveSpecial(D182))</f>
        <v>Bachelor of Engineering with Honours in Mechanical Design Engineering</v>
      </c>
      <c r="H182" s="11" t="str">
        <f>VLOOKUP(G182,'course-cluster'!$A$2:$C$137,3, FALSE)</f>
        <v>Engineering</v>
      </c>
      <c r="I182" s="12" t="s">
        <v>372</v>
      </c>
    </row>
    <row r="183" spans="1:9" x14ac:dyDescent="0.55000000000000004">
      <c r="A183">
        <v>2014</v>
      </c>
      <c r="B183" t="s">
        <v>53</v>
      </c>
      <c r="C183" t="s">
        <v>77</v>
      </c>
      <c r="D183" t="s">
        <v>85</v>
      </c>
      <c r="E183">
        <v>96.5</v>
      </c>
      <c r="F183">
        <v>96.5</v>
      </c>
      <c r="G183" s="11" t="str" cm="1">
        <f t="array" ref="G183">TRIM(RemoveSpecial(D183))</f>
        <v>Bachelor of Engineering (Industrial and Systems Engineering)</v>
      </c>
      <c r="H183" s="11" t="str">
        <f>VLOOKUP(G183,'course-cluster'!$A$2:$C$137,3, FALSE)</f>
        <v>Engineering</v>
      </c>
      <c r="I183" s="12" t="s">
        <v>372</v>
      </c>
    </row>
    <row r="184" spans="1:9" x14ac:dyDescent="0.55000000000000004">
      <c r="A184">
        <v>2015</v>
      </c>
      <c r="B184" t="s">
        <v>146</v>
      </c>
      <c r="C184" t="s">
        <v>170</v>
      </c>
      <c r="D184" t="s">
        <v>174</v>
      </c>
      <c r="E184">
        <v>96.4</v>
      </c>
      <c r="F184">
        <v>94.5</v>
      </c>
      <c r="G184" s="11" t="str" cm="1">
        <f t="array" ref="G184">TRIM(RemoveSpecial(D184))</f>
        <v>Bachelor of Engineering with Honours in Mechatronics</v>
      </c>
      <c r="H184" s="11" t="str">
        <f>VLOOKUP(G184,'course-cluster'!$A$2:$C$137,3, FALSE)</f>
        <v>Engineering</v>
      </c>
      <c r="I184" s="12" t="s">
        <v>372</v>
      </c>
    </row>
    <row r="185" spans="1:9" x14ac:dyDescent="0.55000000000000004">
      <c r="A185">
        <v>2015</v>
      </c>
      <c r="B185" t="s">
        <v>53</v>
      </c>
      <c r="C185" t="s">
        <v>77</v>
      </c>
      <c r="D185" t="s">
        <v>85</v>
      </c>
      <c r="E185">
        <v>96.1</v>
      </c>
      <c r="F185">
        <v>94.7</v>
      </c>
      <c r="G185" s="11" t="str" cm="1">
        <f t="array" ref="G185">TRIM(RemoveSpecial(D185))</f>
        <v>Bachelor of Engineering (Industrial and Systems Engineering)</v>
      </c>
      <c r="H185" s="11" t="str">
        <f>VLOOKUP(G185,'course-cluster'!$A$2:$C$137,3, FALSE)</f>
        <v>Engineering</v>
      </c>
      <c r="I185" s="12" t="s">
        <v>372</v>
      </c>
    </row>
    <row r="186" spans="1:9" x14ac:dyDescent="0.55000000000000004">
      <c r="A186">
        <v>2019</v>
      </c>
      <c r="B186" t="s">
        <v>146</v>
      </c>
      <c r="C186" t="s">
        <v>337</v>
      </c>
      <c r="D186" t="s">
        <v>555</v>
      </c>
      <c r="E186">
        <v>100</v>
      </c>
      <c r="F186">
        <v>100</v>
      </c>
      <c r="G186" s="11" t="str" cm="1">
        <f t="array" ref="G186">TRIM(RemoveSpecial(D186))</f>
        <v>Bachelor in Science (Occupational Therapy)</v>
      </c>
      <c r="H186" s="11" t="e">
        <f>VLOOKUP(G186,'course-cluster'!$A$2:$C$137,3, FALSE)</f>
        <v>#N/A</v>
      </c>
      <c r="I186" s="12" t="s">
        <v>384</v>
      </c>
    </row>
    <row r="187" spans="1:9" x14ac:dyDescent="0.55000000000000004">
      <c r="A187">
        <v>2018</v>
      </c>
      <c r="B187" t="s">
        <v>146</v>
      </c>
      <c r="C187" t="s">
        <v>337</v>
      </c>
      <c r="D187" t="s">
        <v>168</v>
      </c>
      <c r="E187">
        <v>96.6</v>
      </c>
      <c r="F187">
        <v>96.6</v>
      </c>
      <c r="G187" s="11" t="str" cm="1">
        <f t="array" ref="G187">TRIM(RemoveSpecial(D187))</f>
        <v>Bachelor in Science (Occupational Therapy)</v>
      </c>
      <c r="H187" s="11" t="e">
        <f>VLOOKUP(G187,'course-cluster'!$A$2:$C$137,3, FALSE)</f>
        <v>#N/A</v>
      </c>
      <c r="I187" s="12" t="s">
        <v>384</v>
      </c>
    </row>
    <row r="188" spans="1:9" x14ac:dyDescent="0.55000000000000004">
      <c r="A188">
        <v>2014</v>
      </c>
      <c r="B188" t="s">
        <v>53</v>
      </c>
      <c r="C188" t="s">
        <v>77</v>
      </c>
      <c r="D188" t="s">
        <v>84</v>
      </c>
      <c r="E188">
        <v>95.2</v>
      </c>
      <c r="F188">
        <v>92.9</v>
      </c>
      <c r="G188" s="11" t="str" cm="1">
        <f t="array" ref="G188">TRIM(RemoveSpecial(D188))</f>
        <v>Bachelor of Engineering (Environmental Engineering)</v>
      </c>
      <c r="H188" s="11" t="str">
        <f>VLOOKUP(G188,'course-cluster'!$A$2:$C$137,3, FALSE)</f>
        <v>Engineering</v>
      </c>
      <c r="I188" s="12" t="s">
        <v>372</v>
      </c>
    </row>
    <row r="189" spans="1:9" x14ac:dyDescent="0.55000000000000004">
      <c r="A189">
        <v>2016</v>
      </c>
      <c r="B189" t="s">
        <v>146</v>
      </c>
      <c r="C189" t="s">
        <v>155</v>
      </c>
      <c r="D189" t="s">
        <v>157</v>
      </c>
      <c r="E189">
        <v>95.2</v>
      </c>
      <c r="F189">
        <v>81</v>
      </c>
      <c r="G189" s="11" t="str" cm="1">
        <f t="array" ref="G189">TRIM(RemoveSpecial(D189))</f>
        <v>Bachelor of Engineering with Honours in Marine Engineering</v>
      </c>
      <c r="H189" s="11" t="str">
        <f>VLOOKUP(G189,'course-cluster'!$A$2:$C$137,3, FALSE)</f>
        <v>Engineering</v>
      </c>
      <c r="I189" s="12" t="s">
        <v>372</v>
      </c>
    </row>
    <row r="190" spans="1:9" x14ac:dyDescent="0.55000000000000004">
      <c r="A190">
        <v>2014</v>
      </c>
      <c r="B190" t="s">
        <v>146</v>
      </c>
      <c r="C190" t="s">
        <v>167</v>
      </c>
      <c r="D190" t="s">
        <v>169</v>
      </c>
      <c r="E190">
        <v>100</v>
      </c>
      <c r="F190">
        <v>100</v>
      </c>
      <c r="G190" s="11" t="str" cm="1">
        <f t="array" ref="G190">TRIM(RemoveSpecial(D190))</f>
        <v>Bachelor in Science (Physiotherapy)</v>
      </c>
      <c r="H190" s="11" t="e">
        <f>VLOOKUP(G190,'course-cluster'!$A$2:$C$137,3, FALSE)</f>
        <v>#N/A</v>
      </c>
      <c r="I190" s="12" t="s">
        <v>384</v>
      </c>
    </row>
    <row r="191" spans="1:9" x14ac:dyDescent="0.55000000000000004">
      <c r="A191">
        <v>2017</v>
      </c>
      <c r="B191" t="s">
        <v>146</v>
      </c>
      <c r="C191" t="s">
        <v>170</v>
      </c>
      <c r="D191" t="s">
        <v>174</v>
      </c>
      <c r="E191">
        <v>94.6</v>
      </c>
      <c r="F191">
        <v>86.5</v>
      </c>
      <c r="G191" s="11" t="str" cm="1">
        <f t="array" ref="G191">TRIM(RemoveSpecial(D191))</f>
        <v>Bachelor of Engineering with Honours in Mechatronics</v>
      </c>
      <c r="H191" s="11" t="str">
        <f>VLOOKUP(G191,'course-cluster'!$A$2:$C$137,3, FALSE)</f>
        <v>Engineering</v>
      </c>
      <c r="I191" s="12" t="s">
        <v>372</v>
      </c>
    </row>
    <row r="192" spans="1:9" x14ac:dyDescent="0.55000000000000004">
      <c r="A192">
        <v>2018</v>
      </c>
      <c r="B192" t="s">
        <v>146</v>
      </c>
      <c r="C192" t="s">
        <v>155</v>
      </c>
      <c r="D192" t="s">
        <v>214</v>
      </c>
      <c r="E192">
        <v>94.5</v>
      </c>
      <c r="F192">
        <v>81.8</v>
      </c>
      <c r="G192" s="11" t="str" cm="1">
        <f t="array" ref="G192">TRIM(RemoveSpecial(D192))</f>
        <v>Bachelor of Engineering with Honours in Electrical Power Engineering</v>
      </c>
      <c r="H192" s="11" t="str">
        <f>VLOOKUP(G192,'course-cluster'!$A$2:$C$137,3, FALSE)</f>
        <v>Engineering</v>
      </c>
      <c r="I192" s="12" t="s">
        <v>372</v>
      </c>
    </row>
    <row r="193" spans="1:9" x14ac:dyDescent="0.55000000000000004">
      <c r="A193">
        <v>2017</v>
      </c>
      <c r="B193" t="s">
        <v>146</v>
      </c>
      <c r="C193" t="s">
        <v>155</v>
      </c>
      <c r="D193" t="s">
        <v>214</v>
      </c>
      <c r="E193">
        <v>94.4</v>
      </c>
      <c r="F193">
        <v>88.9</v>
      </c>
      <c r="G193" s="11" t="str" cm="1">
        <f t="array" ref="G193">TRIM(RemoveSpecial(D193))</f>
        <v>Bachelor of Engineering with Honours in Electrical Power Engineering</v>
      </c>
      <c r="H193" s="11" t="str">
        <f>VLOOKUP(G193,'course-cluster'!$A$2:$C$137,3, FALSE)</f>
        <v>Engineering</v>
      </c>
      <c r="I193" s="12" t="s">
        <v>372</v>
      </c>
    </row>
    <row r="194" spans="1:9" x14ac:dyDescent="0.55000000000000004">
      <c r="A194">
        <v>2018</v>
      </c>
      <c r="B194" t="s">
        <v>146</v>
      </c>
      <c r="C194" t="s">
        <v>170</v>
      </c>
      <c r="D194" t="s">
        <v>173</v>
      </c>
      <c r="E194">
        <v>94.3</v>
      </c>
      <c r="F194">
        <v>90.6</v>
      </c>
      <c r="G194" s="11" t="str" cm="1">
        <f t="array" ref="G194">TRIM(RemoveSpecial(D194))</f>
        <v>Bachelor of Engineering with Honours in Mechanical Design Engineering</v>
      </c>
      <c r="H194" s="11" t="str">
        <f>VLOOKUP(G194,'course-cluster'!$A$2:$C$137,3, FALSE)</f>
        <v>Engineering</v>
      </c>
      <c r="I194" s="12" t="s">
        <v>372</v>
      </c>
    </row>
    <row r="195" spans="1:9" x14ac:dyDescent="0.55000000000000004">
      <c r="A195">
        <v>2017</v>
      </c>
      <c r="B195" t="s">
        <v>53</v>
      </c>
      <c r="C195" t="s">
        <v>226</v>
      </c>
      <c r="D195" t="s">
        <v>227</v>
      </c>
      <c r="E195">
        <v>94</v>
      </c>
      <c r="F195">
        <v>86</v>
      </c>
      <c r="G195" s="11" t="str" cm="1">
        <f t="array" ref="G195">TRIM(RemoveSpecial(D195))</f>
        <v>Bachelor of Engineering (Materials Science And Engineering)</v>
      </c>
      <c r="H195" s="11" t="str">
        <f>VLOOKUP(G195,'course-cluster'!$A$2:$C$137,3, FALSE)</f>
        <v>Engineering</v>
      </c>
      <c r="I195" s="12" t="s">
        <v>372</v>
      </c>
    </row>
    <row r="196" spans="1:9" x14ac:dyDescent="0.55000000000000004">
      <c r="A196">
        <v>2013</v>
      </c>
      <c r="B196" t="s">
        <v>53</v>
      </c>
      <c r="C196" t="s">
        <v>77</v>
      </c>
      <c r="D196" t="s">
        <v>85</v>
      </c>
      <c r="E196">
        <v>93.9</v>
      </c>
      <c r="F196">
        <v>92.4</v>
      </c>
      <c r="G196" s="11" t="str" cm="1">
        <f t="array" ref="G196">TRIM(RemoveSpecial(D196))</f>
        <v>Bachelor of Engineering (Industrial and Systems Engineering)</v>
      </c>
      <c r="H196" s="11" t="str">
        <f>VLOOKUP(G196,'course-cluster'!$A$2:$C$137,3, FALSE)</f>
        <v>Engineering</v>
      </c>
      <c r="I196" s="12" t="s">
        <v>372</v>
      </c>
    </row>
    <row r="197" spans="1:9" x14ac:dyDescent="0.55000000000000004">
      <c r="A197">
        <v>2013</v>
      </c>
      <c r="B197" t="s">
        <v>53</v>
      </c>
      <c r="C197" t="s">
        <v>77</v>
      </c>
      <c r="D197" t="s">
        <v>84</v>
      </c>
      <c r="E197">
        <v>93.8</v>
      </c>
      <c r="F197">
        <v>87.5</v>
      </c>
      <c r="G197" s="11" t="str" cm="1">
        <f t="array" ref="G197">TRIM(RemoveSpecial(D197))</f>
        <v>Bachelor of Engineering (Environmental Engineering)</v>
      </c>
      <c r="H197" s="11" t="str">
        <f>VLOOKUP(G197,'course-cluster'!$A$2:$C$137,3, FALSE)</f>
        <v>Engineering</v>
      </c>
      <c r="I197" s="12" t="s">
        <v>372</v>
      </c>
    </row>
    <row r="198" spans="1:9" x14ac:dyDescent="0.55000000000000004">
      <c r="A198">
        <v>2018</v>
      </c>
      <c r="B198" t="s">
        <v>146</v>
      </c>
      <c r="C198" t="s">
        <v>170</v>
      </c>
      <c r="D198" t="s">
        <v>174</v>
      </c>
      <c r="E198">
        <v>93.7</v>
      </c>
      <c r="F198">
        <v>87.3</v>
      </c>
      <c r="G198" s="11" t="str" cm="1">
        <f t="array" ref="G198">TRIM(RemoveSpecial(D198))</f>
        <v>Bachelor of Engineering with Honours in Mechatronics</v>
      </c>
      <c r="H198" s="11" t="str">
        <f>VLOOKUP(G198,'course-cluster'!$A$2:$C$137,3, FALSE)</f>
        <v>Engineering</v>
      </c>
      <c r="I198" s="12" t="s">
        <v>372</v>
      </c>
    </row>
    <row r="199" spans="1:9" x14ac:dyDescent="0.55000000000000004">
      <c r="A199">
        <v>2018</v>
      </c>
      <c r="B199" t="s">
        <v>146</v>
      </c>
      <c r="C199" t="s">
        <v>155</v>
      </c>
      <c r="D199" t="s">
        <v>328</v>
      </c>
      <c r="E199">
        <v>93.5</v>
      </c>
      <c r="F199">
        <v>82.3</v>
      </c>
      <c r="G199" s="11" t="str" cm="1">
        <f t="array" ref="G199">TRIM(RemoveSpecial(D199))</f>
        <v>Bachelor of Engineering with Honours in Mechanical Design and Manufacturing Engineering</v>
      </c>
      <c r="H199" s="11" t="str">
        <f>VLOOKUP(G199,'course-cluster'!$A$2:$C$137,3, FALSE)</f>
        <v>Engineering</v>
      </c>
      <c r="I199" s="12" t="s">
        <v>372</v>
      </c>
    </row>
    <row r="200" spans="1:9" x14ac:dyDescent="0.55000000000000004">
      <c r="A200">
        <v>2017</v>
      </c>
      <c r="B200" t="s">
        <v>53</v>
      </c>
      <c r="C200" t="s">
        <v>226</v>
      </c>
      <c r="D200" t="s">
        <v>85</v>
      </c>
      <c r="E200">
        <v>93.3</v>
      </c>
      <c r="F200">
        <v>89.9</v>
      </c>
      <c r="G200" s="11" t="str" cm="1">
        <f t="array" ref="G200">TRIM(RemoveSpecial(D200))</f>
        <v>Bachelor of Engineering (Industrial and Systems Engineering)</v>
      </c>
      <c r="H200" s="11" t="str">
        <f>VLOOKUP(G200,'course-cluster'!$A$2:$C$137,3, FALSE)</f>
        <v>Engineering</v>
      </c>
      <c r="I200" s="12" t="s">
        <v>372</v>
      </c>
    </row>
    <row r="201" spans="1:9" x14ac:dyDescent="0.55000000000000004">
      <c r="A201">
        <v>2013</v>
      </c>
      <c r="B201" t="s">
        <v>53</v>
      </c>
      <c r="C201" t="s">
        <v>77</v>
      </c>
      <c r="D201" t="s">
        <v>79</v>
      </c>
      <c r="E201">
        <v>93.2</v>
      </c>
      <c r="F201">
        <v>90</v>
      </c>
      <c r="G201" s="11" t="str" cm="1">
        <f t="array" ref="G201">TRIM(RemoveSpecial(D201))</f>
        <v>Bachelor of Engineering (Chemical Engineering)</v>
      </c>
      <c r="H201" s="11" t="str">
        <f>VLOOKUP(G201,'course-cluster'!$A$2:$C$137,3, FALSE)</f>
        <v>Engineering</v>
      </c>
      <c r="I201" s="12" t="s">
        <v>372</v>
      </c>
    </row>
    <row r="202" spans="1:9" x14ac:dyDescent="0.55000000000000004">
      <c r="A202">
        <v>2014</v>
      </c>
      <c r="B202" t="s">
        <v>146</v>
      </c>
      <c r="C202" t="s">
        <v>170</v>
      </c>
      <c r="D202" t="s">
        <v>174</v>
      </c>
      <c r="E202">
        <v>93</v>
      </c>
      <c r="F202">
        <v>87.3</v>
      </c>
      <c r="G202" s="11" t="str" cm="1">
        <f t="array" ref="G202">TRIM(RemoveSpecial(D202))</f>
        <v>Bachelor of Engineering with Honours in Mechatronics</v>
      </c>
      <c r="H202" s="11" t="str">
        <f>VLOOKUP(G202,'course-cluster'!$A$2:$C$137,3, FALSE)</f>
        <v>Engineering</v>
      </c>
      <c r="I202" s="12" t="s">
        <v>372</v>
      </c>
    </row>
    <row r="203" spans="1:9" x14ac:dyDescent="0.55000000000000004">
      <c r="A203">
        <v>2018</v>
      </c>
      <c r="B203" t="s">
        <v>53</v>
      </c>
      <c r="C203" t="s">
        <v>77</v>
      </c>
      <c r="D203" t="s">
        <v>87</v>
      </c>
      <c r="E203">
        <v>92.8</v>
      </c>
      <c r="F203">
        <v>86.9</v>
      </c>
      <c r="G203" s="11" t="str" cm="1">
        <f t="array" ref="G203">TRIM(RemoveSpecial(D203))</f>
        <v>Bachelor of Engineering (Mechanical Engineering)</v>
      </c>
      <c r="H203" s="11" t="str">
        <f>VLOOKUP(G203,'course-cluster'!$A$2:$C$137,3, FALSE)</f>
        <v>Engineering</v>
      </c>
      <c r="I203" s="12" t="s">
        <v>372</v>
      </c>
    </row>
    <row r="204" spans="1:9" x14ac:dyDescent="0.55000000000000004">
      <c r="A204">
        <v>2014</v>
      </c>
      <c r="B204" t="s">
        <v>146</v>
      </c>
      <c r="C204" t="s">
        <v>155</v>
      </c>
      <c r="D204" t="s">
        <v>157</v>
      </c>
      <c r="E204">
        <v>92.6</v>
      </c>
      <c r="F204">
        <v>88.9</v>
      </c>
      <c r="G204" s="11" t="str" cm="1">
        <f t="array" ref="G204">TRIM(RemoveSpecial(D204))</f>
        <v>Bachelor of Engineering with Honours in Marine Engineering</v>
      </c>
      <c r="H204" s="11" t="str">
        <f>VLOOKUP(G204,'course-cluster'!$A$2:$C$137,3, FALSE)</f>
        <v>Engineering</v>
      </c>
      <c r="I204" s="12" t="s">
        <v>372</v>
      </c>
    </row>
    <row r="205" spans="1:9" x14ac:dyDescent="0.55000000000000004">
      <c r="A205">
        <v>2014</v>
      </c>
      <c r="B205" t="s">
        <v>146</v>
      </c>
      <c r="C205" t="s">
        <v>170</v>
      </c>
      <c r="D205" t="s">
        <v>173</v>
      </c>
      <c r="E205">
        <v>92.3</v>
      </c>
      <c r="F205">
        <v>92.3</v>
      </c>
      <c r="G205" s="11" t="str" cm="1">
        <f t="array" ref="G205">TRIM(RemoveSpecial(D205))</f>
        <v>Bachelor of Engineering with Honours in Mechanical Design Engineering</v>
      </c>
      <c r="H205" s="11" t="str">
        <f>VLOOKUP(G205,'course-cluster'!$A$2:$C$137,3, FALSE)</f>
        <v>Engineering</v>
      </c>
      <c r="I205" s="12" t="s">
        <v>372</v>
      </c>
    </row>
    <row r="206" spans="1:9" x14ac:dyDescent="0.55000000000000004">
      <c r="A206">
        <v>2015</v>
      </c>
      <c r="B206" t="s">
        <v>53</v>
      </c>
      <c r="C206" t="s">
        <v>77</v>
      </c>
      <c r="D206" t="s">
        <v>82</v>
      </c>
      <c r="E206">
        <v>92.1</v>
      </c>
      <c r="F206">
        <v>90.4</v>
      </c>
      <c r="G206" s="11" t="str" cm="1">
        <f t="array" ref="G206">TRIM(RemoveSpecial(D206))</f>
        <v>Bachelor of Engineering (Electrical Engineering)</v>
      </c>
      <c r="H206" s="11" t="str">
        <f>VLOOKUP(G206,'course-cluster'!$A$2:$C$137,3, FALSE)</f>
        <v>Engineering</v>
      </c>
      <c r="I206" s="12" t="s">
        <v>372</v>
      </c>
    </row>
    <row r="207" spans="1:9" x14ac:dyDescent="0.55000000000000004">
      <c r="A207">
        <v>2016</v>
      </c>
      <c r="B207" t="s">
        <v>53</v>
      </c>
      <c r="C207" t="s">
        <v>226</v>
      </c>
      <c r="D207" t="s">
        <v>191</v>
      </c>
      <c r="E207">
        <v>91.9</v>
      </c>
      <c r="F207">
        <v>80.599999999999994</v>
      </c>
      <c r="G207" s="11" t="str" cm="1">
        <f t="array" ref="G207">TRIM(RemoveSpecial(D207))</f>
        <v>Bachelor of Engineering (Biomedical Engineering)</v>
      </c>
      <c r="H207" s="11" t="str">
        <f>VLOOKUP(G207,'course-cluster'!$A$2:$C$137,3, FALSE)</f>
        <v>Engineering</v>
      </c>
      <c r="I207" s="12" t="s">
        <v>372</v>
      </c>
    </row>
    <row r="208" spans="1:9" x14ac:dyDescent="0.55000000000000004">
      <c r="A208">
        <v>2016</v>
      </c>
      <c r="B208" t="s">
        <v>53</v>
      </c>
      <c r="C208" t="s">
        <v>226</v>
      </c>
      <c r="D208" t="s">
        <v>82</v>
      </c>
      <c r="E208">
        <v>91.9</v>
      </c>
      <c r="F208">
        <v>87.6</v>
      </c>
      <c r="G208" s="11" t="str" cm="1">
        <f t="array" ref="G208">TRIM(RemoveSpecial(D208))</f>
        <v>Bachelor of Engineering (Electrical Engineering)</v>
      </c>
      <c r="H208" s="11" t="str">
        <f>VLOOKUP(G208,'course-cluster'!$A$2:$C$137,3, FALSE)</f>
        <v>Engineering</v>
      </c>
      <c r="I208" s="12" t="s">
        <v>372</v>
      </c>
    </row>
    <row r="209" spans="1:9" x14ac:dyDescent="0.55000000000000004">
      <c r="A209">
        <v>2017</v>
      </c>
      <c r="B209" t="s">
        <v>207</v>
      </c>
      <c r="C209" t="s">
        <v>42</v>
      </c>
      <c r="D209" t="s">
        <v>209</v>
      </c>
      <c r="E209">
        <v>91.7</v>
      </c>
      <c r="F209">
        <v>85.4</v>
      </c>
      <c r="G209" s="11" t="str" cm="1">
        <f t="array" ref="G209">TRIM(RemoveSpecial(D209))</f>
        <v>Bachelor of Engineering (Engineering Systems and Design)</v>
      </c>
      <c r="H209" s="11" t="str">
        <f>VLOOKUP(G209,'course-cluster'!$A$2:$C$137,3, FALSE)</f>
        <v>Engineering</v>
      </c>
      <c r="I209" s="12" t="s">
        <v>372</v>
      </c>
    </row>
    <row r="210" spans="1:9" x14ac:dyDescent="0.55000000000000004">
      <c r="A210">
        <v>2015</v>
      </c>
      <c r="B210" t="s">
        <v>146</v>
      </c>
      <c r="C210" t="s">
        <v>155</v>
      </c>
      <c r="D210" t="s">
        <v>157</v>
      </c>
      <c r="E210">
        <v>91.7</v>
      </c>
      <c r="F210">
        <v>91.7</v>
      </c>
      <c r="G210" s="11" t="str" cm="1">
        <f t="array" ref="G210">TRIM(RemoveSpecial(D210))</f>
        <v>Bachelor of Engineering with Honours in Marine Engineering</v>
      </c>
      <c r="H210" s="11" t="str">
        <f>VLOOKUP(G210,'course-cluster'!$A$2:$C$137,3, FALSE)</f>
        <v>Engineering</v>
      </c>
      <c r="I210" s="12" t="s">
        <v>372</v>
      </c>
    </row>
    <row r="211" spans="1:9" x14ac:dyDescent="0.55000000000000004">
      <c r="A211">
        <v>2015</v>
      </c>
      <c r="B211" t="s">
        <v>146</v>
      </c>
      <c r="C211" t="s">
        <v>167</v>
      </c>
      <c r="D211" t="s">
        <v>169</v>
      </c>
      <c r="E211">
        <v>100</v>
      </c>
      <c r="F211">
        <v>98.3</v>
      </c>
      <c r="G211" s="11" t="str" cm="1">
        <f t="array" ref="G211">TRIM(RemoveSpecial(D211))</f>
        <v>Bachelor in Science (Physiotherapy)</v>
      </c>
      <c r="H211" s="11" t="e">
        <f>VLOOKUP(G211,'course-cluster'!$A$2:$C$137,3, FALSE)</f>
        <v>#N/A</v>
      </c>
      <c r="I211" s="12" t="s">
        <v>384</v>
      </c>
    </row>
    <row r="212" spans="1:9" x14ac:dyDescent="0.55000000000000004">
      <c r="A212">
        <v>2018</v>
      </c>
      <c r="B212" t="s">
        <v>53</v>
      </c>
      <c r="C212" t="s">
        <v>77</v>
      </c>
      <c r="D212" t="s">
        <v>85</v>
      </c>
      <c r="E212">
        <v>91.5</v>
      </c>
      <c r="F212">
        <v>87.8</v>
      </c>
      <c r="G212" s="11" t="str" cm="1">
        <f t="array" ref="G212">TRIM(RemoveSpecial(D212))</f>
        <v>Bachelor of Engineering (Industrial and Systems Engineering)</v>
      </c>
      <c r="H212" s="11" t="str">
        <f>VLOOKUP(G212,'course-cluster'!$A$2:$C$137,3, FALSE)</f>
        <v>Engineering</v>
      </c>
      <c r="I212" s="12" t="s">
        <v>372</v>
      </c>
    </row>
    <row r="213" spans="1:9" x14ac:dyDescent="0.55000000000000004">
      <c r="A213">
        <v>2014</v>
      </c>
      <c r="B213" t="s">
        <v>146</v>
      </c>
      <c r="C213" t="s">
        <v>155</v>
      </c>
      <c r="D213" t="s">
        <v>160</v>
      </c>
      <c r="E213">
        <v>91.3</v>
      </c>
      <c r="F213">
        <v>91.3</v>
      </c>
      <c r="G213" s="11" t="str" cm="1">
        <f t="array" ref="G213">TRIM(RemoveSpecial(D213))</f>
        <v>Bachelor of Engineering with Honours in Offshore Engineering</v>
      </c>
      <c r="H213" s="11" t="str">
        <f>VLOOKUP(G213,'course-cluster'!$A$2:$C$137,3, FALSE)</f>
        <v>Engineering</v>
      </c>
      <c r="I213" s="12" t="s">
        <v>372</v>
      </c>
    </row>
    <row r="214" spans="1:9" x14ac:dyDescent="0.55000000000000004">
      <c r="A214">
        <v>2016</v>
      </c>
      <c r="B214" t="s">
        <v>146</v>
      </c>
      <c r="C214" t="s">
        <v>235</v>
      </c>
      <c r="D214" t="s">
        <v>169</v>
      </c>
      <c r="E214">
        <v>100</v>
      </c>
      <c r="F214">
        <v>100</v>
      </c>
      <c r="G214" s="11" t="str" cm="1">
        <f t="array" ref="G214">TRIM(RemoveSpecial(D214))</f>
        <v>Bachelor in Science (Physiotherapy)</v>
      </c>
      <c r="H214" s="11" t="e">
        <f>VLOOKUP(G214,'course-cluster'!$A$2:$C$137,3, FALSE)</f>
        <v>#N/A</v>
      </c>
      <c r="I214" s="12" t="s">
        <v>384</v>
      </c>
    </row>
    <row r="215" spans="1:9" x14ac:dyDescent="0.55000000000000004">
      <c r="A215">
        <v>2018</v>
      </c>
      <c r="B215" t="s">
        <v>53</v>
      </c>
      <c r="C215" t="s">
        <v>77</v>
      </c>
      <c r="D215" t="s">
        <v>82</v>
      </c>
      <c r="E215">
        <v>91</v>
      </c>
      <c r="F215">
        <v>83.4</v>
      </c>
      <c r="G215" s="11" t="str" cm="1">
        <f t="array" ref="G215">TRIM(RemoveSpecial(D215))</f>
        <v>Bachelor of Engineering (Electrical Engineering)</v>
      </c>
      <c r="H215" s="11" t="str">
        <f>VLOOKUP(G215,'course-cluster'!$A$2:$C$137,3, FALSE)</f>
        <v>Engineering</v>
      </c>
      <c r="I215" s="12" t="s">
        <v>372</v>
      </c>
    </row>
    <row r="216" spans="1:9" x14ac:dyDescent="0.55000000000000004">
      <c r="A216">
        <v>2013</v>
      </c>
      <c r="B216" t="s">
        <v>53</v>
      </c>
      <c r="C216" t="s">
        <v>77</v>
      </c>
      <c r="D216" t="s">
        <v>86</v>
      </c>
      <c r="E216">
        <v>90.9</v>
      </c>
      <c r="F216">
        <v>87.9</v>
      </c>
      <c r="G216" s="11" t="str" cm="1">
        <f t="array" ref="G216">TRIM(RemoveSpecial(D216))</f>
        <v>Bachelor of Engineering (Materials Science and Engineering)</v>
      </c>
      <c r="H216" s="11" t="str">
        <f>VLOOKUP(G216,'course-cluster'!$A$2:$C$137,3, FALSE)</f>
        <v>Engineering</v>
      </c>
      <c r="I216" s="12" t="s">
        <v>372</v>
      </c>
    </row>
    <row r="217" spans="1:9" x14ac:dyDescent="0.55000000000000004">
      <c r="A217">
        <v>2017</v>
      </c>
      <c r="B217" t="s">
        <v>53</v>
      </c>
      <c r="C217" t="s">
        <v>226</v>
      </c>
      <c r="D217" t="s">
        <v>191</v>
      </c>
      <c r="E217">
        <v>90.6</v>
      </c>
      <c r="F217">
        <v>81.3</v>
      </c>
      <c r="G217" s="11" t="str" cm="1">
        <f t="array" ref="G217">TRIM(RemoveSpecial(D217))</f>
        <v>Bachelor of Engineering (Biomedical Engineering)</v>
      </c>
      <c r="H217" s="11" t="str">
        <f>VLOOKUP(G217,'course-cluster'!$A$2:$C$137,3, FALSE)</f>
        <v>Engineering</v>
      </c>
      <c r="I217" s="12" t="s">
        <v>372</v>
      </c>
    </row>
    <row r="218" spans="1:9" x14ac:dyDescent="0.55000000000000004">
      <c r="A218">
        <v>2014</v>
      </c>
      <c r="B218" t="s">
        <v>53</v>
      </c>
      <c r="C218" t="s">
        <v>77</v>
      </c>
      <c r="D218" t="s">
        <v>82</v>
      </c>
      <c r="E218">
        <v>90.6</v>
      </c>
      <c r="F218">
        <v>88.1</v>
      </c>
      <c r="G218" s="11" t="str" cm="1">
        <f t="array" ref="G218">TRIM(RemoveSpecial(D218))</f>
        <v>Bachelor of Engineering (Electrical Engineering)</v>
      </c>
      <c r="H218" s="11" t="str">
        <f>VLOOKUP(G218,'course-cluster'!$A$2:$C$137,3, FALSE)</f>
        <v>Engineering</v>
      </c>
      <c r="I218" s="12" t="s">
        <v>372</v>
      </c>
    </row>
    <row r="219" spans="1:9" x14ac:dyDescent="0.55000000000000004">
      <c r="A219">
        <v>2016</v>
      </c>
      <c r="B219" t="s">
        <v>53</v>
      </c>
      <c r="C219" t="s">
        <v>226</v>
      </c>
      <c r="D219" t="s">
        <v>227</v>
      </c>
      <c r="E219">
        <v>90.2</v>
      </c>
      <c r="F219">
        <v>78.400000000000006</v>
      </c>
      <c r="G219" s="11" t="str" cm="1">
        <f t="array" ref="G219">TRIM(RemoveSpecial(D219))</f>
        <v>Bachelor of Engineering (Materials Science And Engineering)</v>
      </c>
      <c r="H219" s="11" t="str">
        <f>VLOOKUP(G219,'course-cluster'!$A$2:$C$137,3, FALSE)</f>
        <v>Engineering</v>
      </c>
      <c r="I219" s="12" t="s">
        <v>372</v>
      </c>
    </row>
    <row r="220" spans="1:9" x14ac:dyDescent="0.55000000000000004">
      <c r="A220">
        <v>2014</v>
      </c>
      <c r="B220" t="s">
        <v>146</v>
      </c>
      <c r="C220" t="s">
        <v>155</v>
      </c>
      <c r="D220" t="s">
        <v>156</v>
      </c>
      <c r="E220">
        <v>90.1</v>
      </c>
      <c r="F220">
        <v>84.5</v>
      </c>
      <c r="G220" s="11" t="str" cm="1">
        <f t="array" ref="G220">TRIM(RemoveSpecial(D220))</f>
        <v>Bachelor of Engineering with Honours in Chemical Engineering</v>
      </c>
      <c r="H220" s="11" t="str">
        <f>VLOOKUP(G220,'course-cluster'!$A$2:$C$137,3, FALSE)</f>
        <v>Engineering</v>
      </c>
      <c r="I220" s="12" t="s">
        <v>372</v>
      </c>
    </row>
    <row r="221" spans="1:9" x14ac:dyDescent="0.55000000000000004">
      <c r="A221">
        <v>2014</v>
      </c>
      <c r="B221" t="s">
        <v>53</v>
      </c>
      <c r="C221" t="s">
        <v>77</v>
      </c>
      <c r="D221" t="s">
        <v>87</v>
      </c>
      <c r="E221">
        <v>90</v>
      </c>
      <c r="F221">
        <v>88.5</v>
      </c>
      <c r="G221" s="11" t="str" cm="1">
        <f t="array" ref="G221">TRIM(RemoveSpecial(D221))</f>
        <v>Bachelor of Engineering (Mechanical Engineering)</v>
      </c>
      <c r="H221" s="11" t="str">
        <f>VLOOKUP(G221,'course-cluster'!$A$2:$C$137,3, FALSE)</f>
        <v>Engineering</v>
      </c>
      <c r="I221" s="12" t="s">
        <v>372</v>
      </c>
    </row>
    <row r="222" spans="1:9" x14ac:dyDescent="0.55000000000000004">
      <c r="A222">
        <v>2016</v>
      </c>
      <c r="B222" t="s">
        <v>146</v>
      </c>
      <c r="C222" t="s">
        <v>155</v>
      </c>
      <c r="D222" t="s">
        <v>159</v>
      </c>
      <c r="E222">
        <v>90</v>
      </c>
      <c r="F222">
        <v>90</v>
      </c>
      <c r="G222" s="11" t="str" cm="1">
        <f t="array" ref="G222">TRIM(RemoveSpecial(D222))</f>
        <v>Bachelor of Engineering with Honours in Naval Architecture</v>
      </c>
      <c r="H222" s="11" t="str">
        <f>VLOOKUP(G222,'course-cluster'!$A$2:$C$137,3, FALSE)</f>
        <v>Engineering</v>
      </c>
      <c r="I222" s="12" t="s">
        <v>372</v>
      </c>
    </row>
    <row r="223" spans="1:9" x14ac:dyDescent="0.55000000000000004">
      <c r="A223">
        <v>2018</v>
      </c>
      <c r="B223" t="s">
        <v>53</v>
      </c>
      <c r="C223" t="s">
        <v>77</v>
      </c>
      <c r="D223" t="s">
        <v>79</v>
      </c>
      <c r="E223">
        <v>89.9</v>
      </c>
      <c r="F223">
        <v>84.1</v>
      </c>
      <c r="G223" s="11" t="str" cm="1">
        <f t="array" ref="G223">TRIM(RemoveSpecial(D223))</f>
        <v>Bachelor of Engineering (Chemical Engineering)</v>
      </c>
      <c r="H223" s="11" t="str">
        <f>VLOOKUP(G223,'course-cluster'!$A$2:$C$137,3, FALSE)</f>
        <v>Engineering</v>
      </c>
      <c r="I223" s="12" t="s">
        <v>372</v>
      </c>
    </row>
    <row r="224" spans="1:9" x14ac:dyDescent="0.55000000000000004">
      <c r="A224">
        <v>2017</v>
      </c>
      <c r="B224" t="s">
        <v>53</v>
      </c>
      <c r="C224" t="s">
        <v>226</v>
      </c>
      <c r="D224" t="s">
        <v>82</v>
      </c>
      <c r="E224">
        <v>89.4</v>
      </c>
      <c r="F224">
        <v>86.5</v>
      </c>
      <c r="G224" s="11" t="str" cm="1">
        <f t="array" ref="G224">TRIM(RemoveSpecial(D224))</f>
        <v>Bachelor of Engineering (Electrical Engineering)</v>
      </c>
      <c r="H224" s="11" t="str">
        <f>VLOOKUP(G224,'course-cluster'!$A$2:$C$137,3, FALSE)</f>
        <v>Engineering</v>
      </c>
      <c r="I224" s="12" t="s">
        <v>372</v>
      </c>
    </row>
    <row r="225" spans="1:9" x14ac:dyDescent="0.55000000000000004">
      <c r="A225">
        <v>2013</v>
      </c>
      <c r="B225" t="s">
        <v>53</v>
      </c>
      <c r="C225" t="s">
        <v>77</v>
      </c>
      <c r="D225" t="s">
        <v>87</v>
      </c>
      <c r="E225">
        <v>89.1</v>
      </c>
      <c r="F225">
        <v>87.2</v>
      </c>
      <c r="G225" s="11" t="str" cm="1">
        <f t="array" ref="G225">TRIM(RemoveSpecial(D225))</f>
        <v>Bachelor of Engineering (Mechanical Engineering)</v>
      </c>
      <c r="H225" s="11" t="str">
        <f>VLOOKUP(G225,'course-cluster'!$A$2:$C$137,3, FALSE)</f>
        <v>Engineering</v>
      </c>
      <c r="I225" s="12" t="s">
        <v>372</v>
      </c>
    </row>
    <row r="226" spans="1:9" x14ac:dyDescent="0.55000000000000004">
      <c r="A226">
        <v>2018</v>
      </c>
      <c r="B226" t="s">
        <v>53</v>
      </c>
      <c r="C226" t="s">
        <v>77</v>
      </c>
      <c r="D226" t="s">
        <v>84</v>
      </c>
      <c r="E226">
        <v>88.9</v>
      </c>
      <c r="F226">
        <v>74.599999999999994</v>
      </c>
      <c r="G226" s="11" t="str" cm="1">
        <f t="array" ref="G226">TRIM(RemoveSpecial(D226))</f>
        <v>Bachelor of Engineering (Environmental Engineering)</v>
      </c>
      <c r="H226" s="11" t="str">
        <f>VLOOKUP(G226,'course-cluster'!$A$2:$C$137,3, FALSE)</f>
        <v>Engineering</v>
      </c>
      <c r="I226" s="12" t="s">
        <v>372</v>
      </c>
    </row>
    <row r="227" spans="1:9" x14ac:dyDescent="0.55000000000000004">
      <c r="A227">
        <v>2016</v>
      </c>
      <c r="B227" t="s">
        <v>146</v>
      </c>
      <c r="C227" t="s">
        <v>170</v>
      </c>
      <c r="D227" t="s">
        <v>174</v>
      </c>
      <c r="E227">
        <v>88.7</v>
      </c>
      <c r="F227">
        <v>80.3</v>
      </c>
      <c r="G227" s="11" t="str" cm="1">
        <f t="array" ref="G227">TRIM(RemoveSpecial(D227))</f>
        <v>Bachelor of Engineering with Honours in Mechatronics</v>
      </c>
      <c r="H227" s="11" t="str">
        <f>VLOOKUP(G227,'course-cluster'!$A$2:$C$137,3, FALSE)</f>
        <v>Engineering</v>
      </c>
      <c r="I227" s="12" t="s">
        <v>372</v>
      </c>
    </row>
    <row r="228" spans="1:9" x14ac:dyDescent="0.55000000000000004">
      <c r="A228">
        <v>2018</v>
      </c>
      <c r="B228" t="s">
        <v>53</v>
      </c>
      <c r="C228" t="s">
        <v>77</v>
      </c>
      <c r="D228" t="s">
        <v>86</v>
      </c>
      <c r="E228">
        <v>88.6</v>
      </c>
      <c r="F228">
        <v>86.4</v>
      </c>
      <c r="G228" s="11" t="str" cm="1">
        <f t="array" ref="G228">TRIM(RemoveSpecial(D228))</f>
        <v>Bachelor of Engineering (Materials Science and Engineering)</v>
      </c>
      <c r="H228" s="11" t="str">
        <f>VLOOKUP(G228,'course-cluster'!$A$2:$C$137,3, FALSE)</f>
        <v>Engineering</v>
      </c>
      <c r="I228" s="12" t="s">
        <v>372</v>
      </c>
    </row>
    <row r="229" spans="1:9" x14ac:dyDescent="0.55000000000000004">
      <c r="A229">
        <v>2013</v>
      </c>
      <c r="B229" t="s">
        <v>53</v>
      </c>
      <c r="C229" t="s">
        <v>77</v>
      </c>
      <c r="D229" t="s">
        <v>82</v>
      </c>
      <c r="E229">
        <v>88.5</v>
      </c>
      <c r="F229">
        <v>88</v>
      </c>
      <c r="G229" s="11" t="str" cm="1">
        <f t="array" ref="G229">TRIM(RemoveSpecial(D229))</f>
        <v>Bachelor of Engineering (Electrical Engineering)</v>
      </c>
      <c r="H229" s="11" t="str">
        <f>VLOOKUP(G229,'course-cluster'!$A$2:$C$137,3, FALSE)</f>
        <v>Engineering</v>
      </c>
      <c r="I229" s="12" t="s">
        <v>372</v>
      </c>
    </row>
    <row r="230" spans="1:9" x14ac:dyDescent="0.55000000000000004">
      <c r="A230">
        <v>2015</v>
      </c>
      <c r="B230" t="s">
        <v>53</v>
      </c>
      <c r="C230" t="s">
        <v>77</v>
      </c>
      <c r="D230" t="s">
        <v>84</v>
      </c>
      <c r="E230">
        <v>88.1</v>
      </c>
      <c r="F230">
        <v>85.7</v>
      </c>
      <c r="G230" s="11" t="str" cm="1">
        <f t="array" ref="G230">TRIM(RemoveSpecial(D230))</f>
        <v>Bachelor of Engineering (Environmental Engineering)</v>
      </c>
      <c r="H230" s="11" t="str">
        <f>VLOOKUP(G230,'course-cluster'!$A$2:$C$137,3, FALSE)</f>
        <v>Engineering</v>
      </c>
      <c r="I230" s="12" t="s">
        <v>372</v>
      </c>
    </row>
    <row r="231" spans="1:9" x14ac:dyDescent="0.55000000000000004">
      <c r="A231">
        <v>2014</v>
      </c>
      <c r="B231" t="s">
        <v>146</v>
      </c>
      <c r="C231" t="s">
        <v>170</v>
      </c>
      <c r="D231" t="s">
        <v>171</v>
      </c>
      <c r="E231">
        <v>88</v>
      </c>
      <c r="F231">
        <v>88</v>
      </c>
      <c r="G231" s="11" t="str" cm="1">
        <f t="array" ref="G231">TRIM(RemoveSpecial(D231))</f>
        <v>Bachelor of Engineering with Honours in Aeronautical Engineering</v>
      </c>
      <c r="H231" s="11" t="str">
        <f>VLOOKUP(G231,'course-cluster'!$A$2:$C$137,3, FALSE)</f>
        <v>Engineering</v>
      </c>
      <c r="I231" s="12" t="s">
        <v>372</v>
      </c>
    </row>
    <row r="232" spans="1:9" x14ac:dyDescent="0.55000000000000004">
      <c r="A232">
        <v>2017</v>
      </c>
      <c r="B232" t="s">
        <v>53</v>
      </c>
      <c r="C232" t="s">
        <v>226</v>
      </c>
      <c r="D232" t="s">
        <v>79</v>
      </c>
      <c r="E232">
        <v>87.8</v>
      </c>
      <c r="F232">
        <v>81.3</v>
      </c>
      <c r="G232" s="11" t="str" cm="1">
        <f t="array" ref="G232">TRIM(RemoveSpecial(D232))</f>
        <v>Bachelor of Engineering (Chemical Engineering)</v>
      </c>
      <c r="H232" s="11" t="str">
        <f>VLOOKUP(G232,'course-cluster'!$A$2:$C$137,3, FALSE)</f>
        <v>Engineering</v>
      </c>
      <c r="I232" s="12" t="s">
        <v>372</v>
      </c>
    </row>
    <row r="233" spans="1:9" x14ac:dyDescent="0.55000000000000004">
      <c r="A233">
        <v>2017</v>
      </c>
      <c r="B233" t="s">
        <v>146</v>
      </c>
      <c r="C233" t="s">
        <v>299</v>
      </c>
      <c r="D233" t="s">
        <v>169</v>
      </c>
      <c r="E233">
        <v>100</v>
      </c>
      <c r="F233">
        <v>96.8</v>
      </c>
      <c r="G233" s="11" t="str" cm="1">
        <f t="array" ref="G233">TRIM(RemoveSpecial(D233))</f>
        <v>Bachelor in Science (Physiotherapy)</v>
      </c>
      <c r="H233" s="11" t="e">
        <f>VLOOKUP(G233,'course-cluster'!$A$2:$C$137,3, FALSE)</f>
        <v>#N/A</v>
      </c>
      <c r="I233" s="12" t="s">
        <v>384</v>
      </c>
    </row>
    <row r="234" spans="1:9" x14ac:dyDescent="0.55000000000000004">
      <c r="A234">
        <v>2015</v>
      </c>
      <c r="B234" t="s">
        <v>146</v>
      </c>
      <c r="C234" t="s">
        <v>162</v>
      </c>
      <c r="D234" t="s">
        <v>163</v>
      </c>
      <c r="E234">
        <v>87.5</v>
      </c>
      <c r="F234">
        <v>79.2</v>
      </c>
      <c r="G234" s="11" t="str" cm="1">
        <f t="array" ref="G234">TRIM(RemoveSpecial(D234))</f>
        <v>Bachelor of Science in Chemical Engineering</v>
      </c>
      <c r="H234" s="11" t="str">
        <f>VLOOKUP(G234,'course-cluster'!$A$2:$C$137,3, FALSE)</f>
        <v>Engineering</v>
      </c>
      <c r="I234" s="12" t="s">
        <v>372</v>
      </c>
    </row>
    <row r="235" spans="1:9" x14ac:dyDescent="0.55000000000000004">
      <c r="A235">
        <v>2018</v>
      </c>
      <c r="B235" t="s">
        <v>146</v>
      </c>
      <c r="C235" t="s">
        <v>337</v>
      </c>
      <c r="D235" t="s">
        <v>169</v>
      </c>
      <c r="E235">
        <v>100</v>
      </c>
      <c r="F235">
        <v>100</v>
      </c>
      <c r="G235" s="11" t="str" cm="1">
        <f t="array" ref="G235">TRIM(RemoveSpecial(D235))</f>
        <v>Bachelor in Science (Physiotherapy)</v>
      </c>
      <c r="H235" s="11" t="e">
        <f>VLOOKUP(G235,'course-cluster'!$A$2:$C$137,3, FALSE)</f>
        <v>#N/A</v>
      </c>
      <c r="I235" s="12" t="s">
        <v>384</v>
      </c>
    </row>
    <row r="236" spans="1:9" x14ac:dyDescent="0.55000000000000004">
      <c r="A236">
        <v>2017</v>
      </c>
      <c r="B236" t="s">
        <v>53</v>
      </c>
      <c r="C236" t="s">
        <v>226</v>
      </c>
      <c r="D236" t="s">
        <v>87</v>
      </c>
      <c r="E236">
        <v>87.3</v>
      </c>
      <c r="F236">
        <v>82.3</v>
      </c>
      <c r="G236" s="11" t="str" cm="1">
        <f t="array" ref="G236">TRIM(RemoveSpecial(D236))</f>
        <v>Bachelor of Engineering (Mechanical Engineering)</v>
      </c>
      <c r="H236" s="11" t="str">
        <f>VLOOKUP(G236,'course-cluster'!$A$2:$C$137,3, FALSE)</f>
        <v>Engineering</v>
      </c>
      <c r="I236" s="12" t="s">
        <v>372</v>
      </c>
    </row>
    <row r="237" spans="1:9" x14ac:dyDescent="0.55000000000000004">
      <c r="A237">
        <v>2016</v>
      </c>
      <c r="B237" t="s">
        <v>146</v>
      </c>
      <c r="C237" t="s">
        <v>170</v>
      </c>
      <c r="D237" t="s">
        <v>173</v>
      </c>
      <c r="E237">
        <v>87</v>
      </c>
      <c r="F237">
        <v>70.400000000000006</v>
      </c>
      <c r="G237" s="11" t="str" cm="1">
        <f t="array" ref="G237">TRIM(RemoveSpecial(D237))</f>
        <v>Bachelor of Engineering with Honours in Mechanical Design Engineering</v>
      </c>
      <c r="H237" s="11" t="str">
        <f>VLOOKUP(G237,'course-cluster'!$A$2:$C$137,3, FALSE)</f>
        <v>Engineering</v>
      </c>
      <c r="I237" s="12" t="s">
        <v>372</v>
      </c>
    </row>
    <row r="238" spans="1:9" x14ac:dyDescent="0.55000000000000004">
      <c r="A238">
        <v>2014</v>
      </c>
      <c r="B238" t="s">
        <v>146</v>
      </c>
      <c r="C238" t="s">
        <v>162</v>
      </c>
      <c r="D238" t="s">
        <v>163</v>
      </c>
      <c r="E238">
        <v>86.7</v>
      </c>
      <c r="F238">
        <v>86.7</v>
      </c>
      <c r="G238" s="11" t="str" cm="1">
        <f t="array" ref="G238">TRIM(RemoveSpecial(D238))</f>
        <v>Bachelor of Science in Chemical Engineering</v>
      </c>
      <c r="H238" s="11" t="str">
        <f>VLOOKUP(G238,'course-cluster'!$A$2:$C$137,3, FALSE)</f>
        <v>Engineering</v>
      </c>
      <c r="I238" s="12" t="s">
        <v>372</v>
      </c>
    </row>
    <row r="239" spans="1:9" x14ac:dyDescent="0.55000000000000004">
      <c r="A239">
        <v>2016</v>
      </c>
      <c r="B239" t="s">
        <v>53</v>
      </c>
      <c r="C239" t="s">
        <v>226</v>
      </c>
      <c r="D239" t="s">
        <v>87</v>
      </c>
      <c r="E239">
        <v>86.6</v>
      </c>
      <c r="F239">
        <v>81</v>
      </c>
      <c r="G239" s="11" t="str" cm="1">
        <f t="array" ref="G239">TRIM(RemoveSpecial(D239))</f>
        <v>Bachelor of Engineering (Mechanical Engineering)</v>
      </c>
      <c r="H239" s="11" t="str">
        <f>VLOOKUP(G239,'course-cluster'!$A$2:$C$137,3, FALSE)</f>
        <v>Engineering</v>
      </c>
      <c r="I239" s="12" t="s">
        <v>372</v>
      </c>
    </row>
    <row r="240" spans="1:9" x14ac:dyDescent="0.55000000000000004">
      <c r="A240">
        <v>2016</v>
      </c>
      <c r="B240" t="s">
        <v>146</v>
      </c>
      <c r="C240" t="s">
        <v>155</v>
      </c>
      <c r="D240" t="s">
        <v>214</v>
      </c>
      <c r="E240">
        <v>86.4</v>
      </c>
      <c r="F240">
        <v>79.7</v>
      </c>
      <c r="G240" s="11" t="str" cm="1">
        <f t="array" ref="G240">TRIM(RemoveSpecial(D240))</f>
        <v>Bachelor of Engineering with Honours in Electrical Power Engineering</v>
      </c>
      <c r="H240" s="11" t="str">
        <f>VLOOKUP(G240,'course-cluster'!$A$2:$C$137,3, FALSE)</f>
        <v>Engineering</v>
      </c>
      <c r="I240" s="12" t="s">
        <v>372</v>
      </c>
    </row>
    <row r="241" spans="1:9" x14ac:dyDescent="0.55000000000000004">
      <c r="A241">
        <v>2016</v>
      </c>
      <c r="B241" t="s">
        <v>146</v>
      </c>
      <c r="C241" t="s">
        <v>155</v>
      </c>
      <c r="D241" t="s">
        <v>160</v>
      </c>
      <c r="E241">
        <v>86.4</v>
      </c>
      <c r="F241">
        <v>72.7</v>
      </c>
      <c r="G241" s="11" t="str" cm="1">
        <f t="array" ref="G241">TRIM(RemoveSpecial(D241))</f>
        <v>Bachelor of Engineering with Honours in Offshore Engineering</v>
      </c>
      <c r="H241" s="11" t="str">
        <f>VLOOKUP(G241,'course-cluster'!$A$2:$C$137,3, FALSE)</f>
        <v>Engineering</v>
      </c>
      <c r="I241" s="12" t="s">
        <v>372</v>
      </c>
    </row>
    <row r="242" spans="1:9" x14ac:dyDescent="0.55000000000000004">
      <c r="A242">
        <v>2017</v>
      </c>
      <c r="B242" t="s">
        <v>53</v>
      </c>
      <c r="C242" t="s">
        <v>226</v>
      </c>
      <c r="D242" t="s">
        <v>84</v>
      </c>
      <c r="E242">
        <v>86.3</v>
      </c>
      <c r="F242">
        <v>71.2</v>
      </c>
      <c r="G242" s="11" t="str" cm="1">
        <f t="array" ref="G242">TRIM(RemoveSpecial(D242))</f>
        <v>Bachelor of Engineering (Environmental Engineering)</v>
      </c>
      <c r="H242" s="11" t="str">
        <f>VLOOKUP(G242,'course-cluster'!$A$2:$C$137,3, FALSE)</f>
        <v>Engineering</v>
      </c>
      <c r="I242" s="12" t="s">
        <v>372</v>
      </c>
    </row>
    <row r="243" spans="1:9" x14ac:dyDescent="0.55000000000000004">
      <c r="A243">
        <v>2015</v>
      </c>
      <c r="B243" t="s">
        <v>53</v>
      </c>
      <c r="C243" t="s">
        <v>77</v>
      </c>
      <c r="D243" t="s">
        <v>191</v>
      </c>
      <c r="E243">
        <v>86.2</v>
      </c>
      <c r="F243">
        <v>75.900000000000006</v>
      </c>
      <c r="G243" s="11" t="str" cm="1">
        <f t="array" ref="G243">TRIM(RemoveSpecial(D243))</f>
        <v>Bachelor of Engineering (Biomedical Engineering)</v>
      </c>
      <c r="H243" s="11" t="str">
        <f>VLOOKUP(G243,'course-cluster'!$A$2:$C$137,3, FALSE)</f>
        <v>Engineering</v>
      </c>
      <c r="I243" s="12" t="s">
        <v>372</v>
      </c>
    </row>
    <row r="244" spans="1:9" x14ac:dyDescent="0.55000000000000004">
      <c r="A244">
        <v>2013</v>
      </c>
      <c r="B244" t="s">
        <v>53</v>
      </c>
      <c r="C244" t="s">
        <v>77</v>
      </c>
      <c r="D244" t="s">
        <v>83</v>
      </c>
      <c r="E244">
        <v>86.2</v>
      </c>
      <c r="F244">
        <v>75.900000000000006</v>
      </c>
      <c r="G244" s="11" t="str" cm="1">
        <f t="array" ref="G244">TRIM(RemoveSpecial(D244))</f>
        <v>Bachelor of Engineering (Engineering Science)</v>
      </c>
      <c r="H244" s="11" t="str">
        <f>VLOOKUP(G244,'course-cluster'!$A$2:$C$137,3, FALSE)</f>
        <v>Engineering</v>
      </c>
      <c r="I244" s="12" t="s">
        <v>372</v>
      </c>
    </row>
    <row r="245" spans="1:9" x14ac:dyDescent="0.55000000000000004">
      <c r="A245">
        <v>2019</v>
      </c>
      <c r="B245" t="s">
        <v>146</v>
      </c>
      <c r="C245" t="s">
        <v>337</v>
      </c>
      <c r="D245" t="s">
        <v>556</v>
      </c>
      <c r="E245">
        <v>98.3</v>
      </c>
      <c r="F245">
        <v>98.3</v>
      </c>
      <c r="G245" s="11" t="str" cm="1">
        <f t="array" ref="G245">TRIM(RemoveSpecial(D245))</f>
        <v>Bachelor in Science (Physiotherapy)</v>
      </c>
      <c r="H245" s="11" t="e">
        <f>VLOOKUP(G245,'course-cluster'!$A$2:$C$137,3, FALSE)</f>
        <v>#N/A</v>
      </c>
      <c r="I245" s="12" t="s">
        <v>384</v>
      </c>
    </row>
    <row r="246" spans="1:9" x14ac:dyDescent="0.55000000000000004">
      <c r="A246">
        <v>2015</v>
      </c>
      <c r="B246" t="s">
        <v>53</v>
      </c>
      <c r="C246" t="s">
        <v>77</v>
      </c>
      <c r="D246" t="s">
        <v>79</v>
      </c>
      <c r="E246">
        <v>86</v>
      </c>
      <c r="F246">
        <v>82.9</v>
      </c>
      <c r="G246" s="11" t="str" cm="1">
        <f t="array" ref="G246">TRIM(RemoveSpecial(D246))</f>
        <v>Bachelor of Engineering (Chemical Engineering)</v>
      </c>
      <c r="H246" s="11" t="str">
        <f>VLOOKUP(G246,'course-cluster'!$A$2:$C$137,3, FALSE)</f>
        <v>Engineering</v>
      </c>
      <c r="I246" s="12" t="s">
        <v>372</v>
      </c>
    </row>
    <row r="247" spans="1:9" x14ac:dyDescent="0.55000000000000004">
      <c r="A247">
        <v>2016</v>
      </c>
      <c r="B247" t="s">
        <v>146</v>
      </c>
      <c r="C247" t="s">
        <v>155</v>
      </c>
      <c r="D247" t="s">
        <v>156</v>
      </c>
      <c r="E247">
        <v>85.9</v>
      </c>
      <c r="F247">
        <v>71.8</v>
      </c>
      <c r="G247" s="11" t="str" cm="1">
        <f t="array" ref="G247">TRIM(RemoveSpecial(D247))</f>
        <v>Bachelor of Engineering with Honours in Chemical Engineering</v>
      </c>
      <c r="H247" s="11" t="str">
        <f>VLOOKUP(G247,'course-cluster'!$A$2:$C$137,3, FALSE)</f>
        <v>Engineering</v>
      </c>
      <c r="I247" s="12" t="s">
        <v>372</v>
      </c>
    </row>
    <row r="248" spans="1:9" x14ac:dyDescent="0.55000000000000004">
      <c r="A248">
        <v>2013</v>
      </c>
      <c r="B248" t="s">
        <v>53</v>
      </c>
      <c r="C248" t="s">
        <v>96</v>
      </c>
      <c r="D248" t="s">
        <v>98</v>
      </c>
      <c r="E248">
        <v>97.3</v>
      </c>
      <c r="F248">
        <v>97.3</v>
      </c>
      <c r="G248" s="11" t="str" cm="1">
        <f t="array" ref="G248">TRIM(RemoveSpecial(D248))</f>
        <v>Bachelor of Applied Science (Hons)</v>
      </c>
      <c r="H248" s="11" t="e">
        <f>VLOOKUP(G248,'course-cluster'!$A$2:$C$137,3, FALSE)</f>
        <v>#N/A</v>
      </c>
      <c r="I248" s="12" t="s">
        <v>390</v>
      </c>
    </row>
    <row r="249" spans="1:9" x14ac:dyDescent="0.55000000000000004">
      <c r="A249">
        <v>2014</v>
      </c>
      <c r="B249" t="s">
        <v>146</v>
      </c>
      <c r="C249" t="s">
        <v>170</v>
      </c>
      <c r="D249" t="s">
        <v>172</v>
      </c>
      <c r="E249">
        <v>85.7</v>
      </c>
      <c r="F249">
        <v>75</v>
      </c>
      <c r="G249" s="11" t="str" cm="1">
        <f t="array" ref="G249">TRIM(RemoveSpecial(D249))</f>
        <v>Bachelor of Engineering with Honours in Aerospace Systems</v>
      </c>
      <c r="H249" s="11" t="str">
        <f>VLOOKUP(G249,'course-cluster'!$A$2:$C$137,3, FALSE)</f>
        <v>Engineering</v>
      </c>
      <c r="I249" s="12" t="s">
        <v>372</v>
      </c>
    </row>
    <row r="250" spans="1:9" x14ac:dyDescent="0.55000000000000004">
      <c r="A250">
        <v>2015</v>
      </c>
      <c r="B250" t="s">
        <v>146</v>
      </c>
      <c r="C250" t="s">
        <v>155</v>
      </c>
      <c r="D250" t="s">
        <v>156</v>
      </c>
      <c r="E250">
        <v>85.5</v>
      </c>
      <c r="F250">
        <v>72.599999999999994</v>
      </c>
      <c r="G250" s="11" t="str" cm="1">
        <f t="array" ref="G250">TRIM(RemoveSpecial(D250))</f>
        <v>Bachelor of Engineering with Honours in Chemical Engineering</v>
      </c>
      <c r="H250" s="11" t="str">
        <f>VLOOKUP(G250,'course-cluster'!$A$2:$C$137,3, FALSE)</f>
        <v>Engineering</v>
      </c>
      <c r="I250" s="12" t="s">
        <v>372</v>
      </c>
    </row>
    <row r="251" spans="1:9" x14ac:dyDescent="0.55000000000000004">
      <c r="A251">
        <v>2016</v>
      </c>
      <c r="B251" t="s">
        <v>53</v>
      </c>
      <c r="C251" t="s">
        <v>226</v>
      </c>
      <c r="D251" t="s">
        <v>79</v>
      </c>
      <c r="E251">
        <v>85.3</v>
      </c>
      <c r="F251">
        <v>80.3</v>
      </c>
      <c r="G251" s="11" t="str" cm="1">
        <f t="array" ref="G251">TRIM(RemoveSpecial(D251))</f>
        <v>Bachelor of Engineering (Chemical Engineering)</v>
      </c>
      <c r="H251" s="11" t="str">
        <f>VLOOKUP(G251,'course-cluster'!$A$2:$C$137,3, FALSE)</f>
        <v>Engineering</v>
      </c>
      <c r="I251" s="12" t="s">
        <v>372</v>
      </c>
    </row>
    <row r="252" spans="1:9" x14ac:dyDescent="0.55000000000000004">
      <c r="A252">
        <v>2016</v>
      </c>
      <c r="B252" t="s">
        <v>53</v>
      </c>
      <c r="C252" t="s">
        <v>226</v>
      </c>
      <c r="D252" t="s">
        <v>83</v>
      </c>
      <c r="E252">
        <v>85.2</v>
      </c>
      <c r="F252">
        <v>74.099999999999994</v>
      </c>
      <c r="G252" s="11" t="str" cm="1">
        <f t="array" ref="G252">TRIM(RemoveSpecial(D252))</f>
        <v>Bachelor of Engineering (Engineering Science)</v>
      </c>
      <c r="H252" s="11" t="str">
        <f>VLOOKUP(G252,'course-cluster'!$A$2:$C$137,3, FALSE)</f>
        <v>Engineering</v>
      </c>
      <c r="I252" s="12" t="s">
        <v>372</v>
      </c>
    </row>
    <row r="253" spans="1:9" x14ac:dyDescent="0.55000000000000004">
      <c r="A253">
        <v>2017</v>
      </c>
      <c r="B253" t="s">
        <v>12</v>
      </c>
      <c r="C253" t="s">
        <v>18</v>
      </c>
      <c r="D253" t="s">
        <v>258</v>
      </c>
      <c r="E253">
        <v>84.9</v>
      </c>
      <c r="F253">
        <v>75.599999999999994</v>
      </c>
      <c r="G253" s="11" t="str" cm="1">
        <f t="array" ref="G253">TRIM(RemoveSpecial(D253))</f>
        <v>Bachelor of Engineering (Hons) (Materials Engineering)</v>
      </c>
      <c r="H253" s="11" t="str">
        <f>VLOOKUP(G253,'course-cluster'!$A$2:$C$137,3, FALSE)</f>
        <v>Engineering</v>
      </c>
      <c r="I253" s="12" t="s">
        <v>372</v>
      </c>
    </row>
    <row r="254" spans="1:9" x14ac:dyDescent="0.55000000000000004">
      <c r="A254">
        <v>2014</v>
      </c>
      <c r="B254" t="s">
        <v>53</v>
      </c>
      <c r="C254" t="s">
        <v>96</v>
      </c>
      <c r="D254" t="s">
        <v>98</v>
      </c>
      <c r="E254">
        <v>95.5</v>
      </c>
      <c r="F254">
        <v>81.8</v>
      </c>
      <c r="G254" s="11" t="str" cm="1">
        <f t="array" ref="G254">TRIM(RemoveSpecial(D254))</f>
        <v>Bachelor of Applied Science (Hons)</v>
      </c>
      <c r="H254" s="11" t="e">
        <f>VLOOKUP(G254,'course-cluster'!$A$2:$C$137,3, FALSE)</f>
        <v>#N/A</v>
      </c>
      <c r="I254" s="12" t="s">
        <v>390</v>
      </c>
    </row>
    <row r="255" spans="1:9" x14ac:dyDescent="0.55000000000000004">
      <c r="A255">
        <v>2018</v>
      </c>
      <c r="B255" t="s">
        <v>146</v>
      </c>
      <c r="C255" t="s">
        <v>155</v>
      </c>
      <c r="D255" t="s">
        <v>156</v>
      </c>
      <c r="E255">
        <v>84.6</v>
      </c>
      <c r="F255">
        <v>76.900000000000006</v>
      </c>
      <c r="G255" s="11" t="str" cm="1">
        <f t="array" ref="G255">TRIM(RemoveSpecial(D255))</f>
        <v>Bachelor of Engineering with Honours in Chemical Engineering</v>
      </c>
      <c r="H255" s="11" t="str">
        <f>VLOOKUP(G255,'course-cluster'!$A$2:$C$137,3, FALSE)</f>
        <v>Engineering</v>
      </c>
      <c r="I255" s="12" t="s">
        <v>372</v>
      </c>
    </row>
    <row r="256" spans="1:9" x14ac:dyDescent="0.55000000000000004">
      <c r="A256">
        <v>2017</v>
      </c>
      <c r="B256" t="s">
        <v>146</v>
      </c>
      <c r="C256" t="s">
        <v>162</v>
      </c>
      <c r="D256" t="s">
        <v>163</v>
      </c>
      <c r="E256">
        <v>84.5</v>
      </c>
      <c r="F256">
        <v>74.099999999999994</v>
      </c>
      <c r="G256" s="11" t="str" cm="1">
        <f t="array" ref="G256">TRIM(RemoveSpecial(D256))</f>
        <v>Bachelor of Science in Chemical Engineering</v>
      </c>
      <c r="H256" s="11" t="str">
        <f>VLOOKUP(G256,'course-cluster'!$A$2:$C$137,3, FALSE)</f>
        <v>Engineering</v>
      </c>
      <c r="I256" s="12" t="s">
        <v>372</v>
      </c>
    </row>
    <row r="257" spans="1:9" x14ac:dyDescent="0.55000000000000004">
      <c r="A257">
        <v>2015</v>
      </c>
      <c r="B257" t="s">
        <v>53</v>
      </c>
      <c r="C257" t="s">
        <v>96</v>
      </c>
      <c r="D257" t="s">
        <v>98</v>
      </c>
      <c r="E257">
        <v>85.2</v>
      </c>
      <c r="F257">
        <v>77.8</v>
      </c>
      <c r="G257" s="11" t="str" cm="1">
        <f t="array" ref="G257">TRIM(RemoveSpecial(D257))</f>
        <v>Bachelor of Applied Science (Hons)</v>
      </c>
      <c r="H257" s="11" t="e">
        <f>VLOOKUP(G257,'course-cluster'!$A$2:$C$137,3, FALSE)</f>
        <v>#N/A</v>
      </c>
      <c r="I257" s="12" t="s">
        <v>390</v>
      </c>
    </row>
    <row r="258" spans="1:9" x14ac:dyDescent="0.55000000000000004">
      <c r="A258">
        <v>2014</v>
      </c>
      <c r="B258" t="s">
        <v>53</v>
      </c>
      <c r="C258" t="s">
        <v>77</v>
      </c>
      <c r="D258" t="s">
        <v>79</v>
      </c>
      <c r="E258">
        <v>83.9</v>
      </c>
      <c r="F258">
        <v>76.400000000000006</v>
      </c>
      <c r="G258" s="11" t="str" cm="1">
        <f t="array" ref="G258">TRIM(RemoveSpecial(D258))</f>
        <v>Bachelor of Engineering (Chemical Engineering)</v>
      </c>
      <c r="H258" s="11" t="str">
        <f>VLOOKUP(G258,'course-cluster'!$A$2:$C$137,3, FALSE)</f>
        <v>Engineering</v>
      </c>
      <c r="I258" s="12" t="s">
        <v>372</v>
      </c>
    </row>
    <row r="259" spans="1:9" x14ac:dyDescent="0.55000000000000004">
      <c r="A259">
        <v>2018</v>
      </c>
      <c r="B259" t="s">
        <v>146</v>
      </c>
      <c r="C259" t="s">
        <v>162</v>
      </c>
      <c r="D259" t="s">
        <v>163</v>
      </c>
      <c r="E259">
        <v>83.7</v>
      </c>
      <c r="F259">
        <v>75.5</v>
      </c>
      <c r="G259" s="11" t="str" cm="1">
        <f t="array" ref="G259">TRIM(RemoveSpecial(D259))</f>
        <v>Bachelor of Science in Chemical Engineering</v>
      </c>
      <c r="H259" s="11" t="str">
        <f>VLOOKUP(G259,'course-cluster'!$A$2:$C$137,3, FALSE)</f>
        <v>Engineering</v>
      </c>
      <c r="I259" s="12" t="s">
        <v>372</v>
      </c>
    </row>
    <row r="260" spans="1:9" x14ac:dyDescent="0.55000000000000004">
      <c r="A260">
        <v>2015</v>
      </c>
      <c r="B260" t="s">
        <v>53</v>
      </c>
      <c r="C260" t="s">
        <v>77</v>
      </c>
      <c r="D260" t="s">
        <v>87</v>
      </c>
      <c r="E260">
        <v>83.3</v>
      </c>
      <c r="F260">
        <v>80</v>
      </c>
      <c r="G260" s="11" t="str" cm="1">
        <f t="array" ref="G260">TRIM(RemoveSpecial(D260))</f>
        <v>Bachelor of Engineering (Mechanical Engineering)</v>
      </c>
      <c r="H260" s="11" t="str">
        <f>VLOOKUP(G260,'course-cluster'!$A$2:$C$137,3, FALSE)</f>
        <v>Engineering</v>
      </c>
      <c r="I260" s="12" t="s">
        <v>372</v>
      </c>
    </row>
    <row r="261" spans="1:9" x14ac:dyDescent="0.55000000000000004">
      <c r="A261">
        <v>2015</v>
      </c>
      <c r="B261" t="s">
        <v>146</v>
      </c>
      <c r="C261" t="s">
        <v>170</v>
      </c>
      <c r="D261" t="s">
        <v>172</v>
      </c>
      <c r="E261">
        <v>83.3</v>
      </c>
      <c r="F261">
        <v>70.8</v>
      </c>
      <c r="G261" s="11" t="str" cm="1">
        <f t="array" ref="G261">TRIM(RemoveSpecial(D261))</f>
        <v>Bachelor of Engineering with Honours in Aerospace Systems</v>
      </c>
      <c r="H261" s="11" t="str">
        <f>VLOOKUP(G261,'course-cluster'!$A$2:$C$137,3, FALSE)</f>
        <v>Engineering</v>
      </c>
      <c r="I261" s="12" t="s">
        <v>372</v>
      </c>
    </row>
    <row r="262" spans="1:9" x14ac:dyDescent="0.55000000000000004">
      <c r="A262">
        <v>2015</v>
      </c>
      <c r="B262" t="s">
        <v>146</v>
      </c>
      <c r="C262" t="s">
        <v>155</v>
      </c>
      <c r="D262" t="s">
        <v>214</v>
      </c>
      <c r="E262">
        <v>83</v>
      </c>
      <c r="F262">
        <v>77.400000000000006</v>
      </c>
      <c r="G262" s="11" t="str" cm="1">
        <f t="array" ref="G262">TRIM(RemoveSpecial(D262))</f>
        <v>Bachelor of Engineering with Honours in Electrical Power Engineering</v>
      </c>
      <c r="H262" s="11" t="str">
        <f>VLOOKUP(G262,'course-cluster'!$A$2:$C$137,3, FALSE)</f>
        <v>Engineering</v>
      </c>
      <c r="I262" s="12" t="s">
        <v>372</v>
      </c>
    </row>
    <row r="263" spans="1:9" x14ac:dyDescent="0.55000000000000004">
      <c r="A263">
        <v>2017</v>
      </c>
      <c r="B263" t="s">
        <v>12</v>
      </c>
      <c r="C263" t="s">
        <v>18</v>
      </c>
      <c r="D263" t="s">
        <v>260</v>
      </c>
      <c r="E263">
        <v>82.7</v>
      </c>
      <c r="F263">
        <v>74.900000000000006</v>
      </c>
      <c r="G263" s="11" t="str" cm="1">
        <f t="array" ref="G263">TRIM(RemoveSpecial(D263))</f>
        <v>Bachelor of Engineering (Hons) (Mechanical Engineering)</v>
      </c>
      <c r="H263" s="11" t="str">
        <f>VLOOKUP(G263,'course-cluster'!$A$2:$C$137,3, FALSE)</f>
        <v>Engineering</v>
      </c>
      <c r="I263" s="12" t="s">
        <v>372</v>
      </c>
    </row>
    <row r="264" spans="1:9" x14ac:dyDescent="0.55000000000000004">
      <c r="A264">
        <v>2015</v>
      </c>
      <c r="B264" t="s">
        <v>53</v>
      </c>
      <c r="C264" t="s">
        <v>77</v>
      </c>
      <c r="D264" t="s">
        <v>83</v>
      </c>
      <c r="E264">
        <v>82.6</v>
      </c>
      <c r="F264">
        <v>73.900000000000006</v>
      </c>
      <c r="G264" s="11" t="str" cm="1">
        <f t="array" ref="G264">TRIM(RemoveSpecial(D264))</f>
        <v>Bachelor of Engineering (Engineering Science)</v>
      </c>
      <c r="H264" s="11" t="str">
        <f>VLOOKUP(G264,'course-cluster'!$A$2:$C$137,3, FALSE)</f>
        <v>Engineering</v>
      </c>
      <c r="I264" s="12" t="s">
        <v>372</v>
      </c>
    </row>
    <row r="265" spans="1:9" x14ac:dyDescent="0.55000000000000004">
      <c r="A265">
        <v>2017</v>
      </c>
      <c r="B265" t="s">
        <v>53</v>
      </c>
      <c r="C265" t="s">
        <v>96</v>
      </c>
      <c r="D265" t="s">
        <v>98</v>
      </c>
      <c r="E265">
        <v>82.1</v>
      </c>
      <c r="F265">
        <v>50</v>
      </c>
      <c r="G265" s="11" t="str" cm="1">
        <f t="array" ref="G265">TRIM(RemoveSpecial(D265))</f>
        <v>Bachelor of Applied Science (Hons)</v>
      </c>
      <c r="H265" s="11" t="e">
        <f>VLOOKUP(G265,'course-cluster'!$A$2:$C$137,3, FALSE)</f>
        <v>#N/A</v>
      </c>
      <c r="I265" s="12" t="s">
        <v>390</v>
      </c>
    </row>
    <row r="266" spans="1:9" x14ac:dyDescent="0.55000000000000004">
      <c r="A266">
        <v>2016</v>
      </c>
      <c r="B266" t="s">
        <v>53</v>
      </c>
      <c r="C266" t="s">
        <v>96</v>
      </c>
      <c r="D266" t="s">
        <v>98</v>
      </c>
      <c r="E266">
        <v>81</v>
      </c>
      <c r="F266">
        <v>61.9</v>
      </c>
      <c r="G266" s="11" t="str" cm="1">
        <f t="array" ref="G266">TRIM(RemoveSpecial(D266))</f>
        <v>Bachelor of Applied Science (Hons)</v>
      </c>
      <c r="H266" s="11" t="e">
        <f>VLOOKUP(G266,'course-cluster'!$A$2:$C$137,3, FALSE)</f>
        <v>#N/A</v>
      </c>
      <c r="I266" s="12" t="s">
        <v>390</v>
      </c>
    </row>
    <row r="267" spans="1:9" x14ac:dyDescent="0.55000000000000004">
      <c r="A267">
        <v>2018</v>
      </c>
      <c r="B267" t="s">
        <v>146</v>
      </c>
      <c r="C267" t="s">
        <v>170</v>
      </c>
      <c r="D267" t="s">
        <v>172</v>
      </c>
      <c r="E267">
        <v>82.4</v>
      </c>
      <c r="F267">
        <v>61.8</v>
      </c>
      <c r="G267" s="11" t="str" cm="1">
        <f t="array" ref="G267">TRIM(RemoveSpecial(D267))</f>
        <v>Bachelor of Engineering with Honours in Aerospace Systems</v>
      </c>
      <c r="H267" s="11" t="str">
        <f>VLOOKUP(G267,'course-cluster'!$A$2:$C$137,3, FALSE)</f>
        <v>Engineering</v>
      </c>
      <c r="I267" s="12" t="s">
        <v>372</v>
      </c>
    </row>
    <row r="268" spans="1:9" x14ac:dyDescent="0.55000000000000004">
      <c r="A268">
        <v>2016</v>
      </c>
      <c r="B268" t="s">
        <v>146</v>
      </c>
      <c r="C268" t="s">
        <v>170</v>
      </c>
      <c r="D268" t="s">
        <v>172</v>
      </c>
      <c r="E268">
        <v>82.2</v>
      </c>
      <c r="F268">
        <v>64.400000000000006</v>
      </c>
      <c r="G268" s="11" t="str" cm="1">
        <f t="array" ref="G268">TRIM(RemoveSpecial(D268))</f>
        <v>Bachelor of Engineering with Honours in Aerospace Systems</v>
      </c>
      <c r="H268" s="11" t="str">
        <f>VLOOKUP(G268,'course-cluster'!$A$2:$C$137,3, FALSE)</f>
        <v>Engineering</v>
      </c>
      <c r="I268" s="12" t="s">
        <v>372</v>
      </c>
    </row>
    <row r="269" spans="1:9" x14ac:dyDescent="0.55000000000000004">
      <c r="A269">
        <v>2015</v>
      </c>
      <c r="B269" t="s">
        <v>146</v>
      </c>
      <c r="C269" t="s">
        <v>170</v>
      </c>
      <c r="D269" t="s">
        <v>171</v>
      </c>
      <c r="E269">
        <v>81.599999999999994</v>
      </c>
      <c r="F269">
        <v>73.7</v>
      </c>
      <c r="G269" s="11" t="str" cm="1">
        <f t="array" ref="G269">TRIM(RemoveSpecial(D269))</f>
        <v>Bachelor of Engineering with Honours in Aeronautical Engineering</v>
      </c>
      <c r="H269" s="11" t="str">
        <f>VLOOKUP(G269,'course-cluster'!$A$2:$C$137,3, FALSE)</f>
        <v>Engineering</v>
      </c>
      <c r="I269" s="12" t="s">
        <v>372</v>
      </c>
    </row>
    <row r="270" spans="1:9" x14ac:dyDescent="0.55000000000000004">
      <c r="A270">
        <v>2016</v>
      </c>
      <c r="B270" t="s">
        <v>146</v>
      </c>
      <c r="C270" t="s">
        <v>170</v>
      </c>
      <c r="D270" t="s">
        <v>171</v>
      </c>
      <c r="E270">
        <v>81.599999999999994</v>
      </c>
      <c r="F270">
        <v>65.3</v>
      </c>
      <c r="G270" s="11" t="str" cm="1">
        <f t="array" ref="G270">TRIM(RemoveSpecial(D270))</f>
        <v>Bachelor of Engineering with Honours in Aeronautical Engineering</v>
      </c>
      <c r="H270" s="11" t="str">
        <f>VLOOKUP(G270,'course-cluster'!$A$2:$C$137,3, FALSE)</f>
        <v>Engineering</v>
      </c>
      <c r="I270" s="12" t="s">
        <v>372</v>
      </c>
    </row>
    <row r="271" spans="1:9" x14ac:dyDescent="0.55000000000000004">
      <c r="A271">
        <v>2019</v>
      </c>
      <c r="B271" t="s">
        <v>53</v>
      </c>
      <c r="C271" t="s">
        <v>72</v>
      </c>
      <c r="D271" t="s">
        <v>462</v>
      </c>
      <c r="E271">
        <v>100</v>
      </c>
      <c r="F271">
        <v>96</v>
      </c>
      <c r="G271" s="11" t="str" cm="1">
        <f t="array" ref="G271">TRIM(RemoveSpecial(D271))</f>
        <v>Bachelor of Arts (Architecture)6</v>
      </c>
      <c r="H271" s="11" t="e">
        <f>VLOOKUP(G271,'course-cluster'!$A$2:$C$137,3, FALSE)</f>
        <v>#N/A</v>
      </c>
      <c r="I271" s="12" t="s">
        <v>358</v>
      </c>
    </row>
    <row r="272" spans="1:9" x14ac:dyDescent="0.55000000000000004">
      <c r="A272">
        <v>2014</v>
      </c>
      <c r="B272" t="s">
        <v>53</v>
      </c>
      <c r="C272" t="s">
        <v>77</v>
      </c>
      <c r="D272" t="s">
        <v>83</v>
      </c>
      <c r="E272">
        <v>81.3</v>
      </c>
      <c r="F272">
        <v>62.5</v>
      </c>
      <c r="G272" s="11" t="str" cm="1">
        <f t="array" ref="G272">TRIM(RemoveSpecial(D272))</f>
        <v>Bachelor of Engineering (Engineering Science)</v>
      </c>
      <c r="H272" s="11" t="str">
        <f>VLOOKUP(G272,'course-cluster'!$A$2:$C$137,3, FALSE)</f>
        <v>Engineering</v>
      </c>
      <c r="I272" s="12" t="s">
        <v>372</v>
      </c>
    </row>
    <row r="273" spans="1:9" x14ac:dyDescent="0.55000000000000004">
      <c r="A273">
        <v>2017</v>
      </c>
      <c r="B273" t="s">
        <v>146</v>
      </c>
      <c r="C273" t="s">
        <v>170</v>
      </c>
      <c r="D273" t="s">
        <v>171</v>
      </c>
      <c r="E273">
        <v>81.3</v>
      </c>
      <c r="F273">
        <v>65.599999999999994</v>
      </c>
      <c r="G273" s="11" t="str" cm="1">
        <f t="array" ref="G273">TRIM(RemoveSpecial(D273))</f>
        <v>Bachelor of Engineering with Honours in Aeronautical Engineering</v>
      </c>
      <c r="H273" s="11" t="str">
        <f>VLOOKUP(G273,'course-cluster'!$A$2:$C$137,3, FALSE)</f>
        <v>Engineering</v>
      </c>
      <c r="I273" s="12" t="s">
        <v>372</v>
      </c>
    </row>
    <row r="274" spans="1:9" x14ac:dyDescent="0.55000000000000004">
      <c r="A274">
        <v>2015</v>
      </c>
      <c r="B274" t="s">
        <v>207</v>
      </c>
      <c r="C274" t="s">
        <v>42</v>
      </c>
      <c r="D274" t="s">
        <v>209</v>
      </c>
      <c r="E274">
        <v>80.3</v>
      </c>
      <c r="F274">
        <v>71.8</v>
      </c>
      <c r="G274" s="11" t="str" cm="1">
        <f t="array" ref="G274">TRIM(RemoveSpecial(D274))</f>
        <v>Bachelor of Engineering (Engineering Systems and Design)</v>
      </c>
      <c r="H274" s="11" t="str">
        <f>VLOOKUP(G274,'course-cluster'!$A$2:$C$137,3, FALSE)</f>
        <v>Engineering</v>
      </c>
      <c r="I274" s="12" t="s">
        <v>372</v>
      </c>
    </row>
    <row r="275" spans="1:9" x14ac:dyDescent="0.55000000000000004">
      <c r="A275">
        <v>2016</v>
      </c>
      <c r="B275" t="s">
        <v>53</v>
      </c>
      <c r="C275" t="s">
        <v>226</v>
      </c>
      <c r="D275" t="s">
        <v>85</v>
      </c>
      <c r="E275">
        <v>80.3</v>
      </c>
      <c r="F275">
        <v>78.900000000000006</v>
      </c>
      <c r="G275" s="11" t="str" cm="1">
        <f t="array" ref="G275">TRIM(RemoveSpecial(D275))</f>
        <v>Bachelor of Engineering (Industrial and Systems Engineering)</v>
      </c>
      <c r="H275" s="11" t="str">
        <f>VLOOKUP(G275,'course-cluster'!$A$2:$C$137,3, FALSE)</f>
        <v>Engineering</v>
      </c>
      <c r="I275" s="12" t="s">
        <v>372</v>
      </c>
    </row>
    <row r="276" spans="1:9" x14ac:dyDescent="0.55000000000000004">
      <c r="A276">
        <v>2017</v>
      </c>
      <c r="B276" t="s">
        <v>146</v>
      </c>
      <c r="C276" t="s">
        <v>170</v>
      </c>
      <c r="D276" t="s">
        <v>172</v>
      </c>
      <c r="E276">
        <v>80</v>
      </c>
      <c r="F276">
        <v>52.5</v>
      </c>
      <c r="G276" s="11" t="str" cm="1">
        <f t="array" ref="G276">TRIM(RemoveSpecial(D276))</f>
        <v>Bachelor of Engineering with Honours in Aerospace Systems</v>
      </c>
      <c r="H276" s="11" t="str">
        <f>VLOOKUP(G276,'course-cluster'!$A$2:$C$137,3, FALSE)</f>
        <v>Engineering</v>
      </c>
      <c r="I276" s="12" t="s">
        <v>372</v>
      </c>
    </row>
    <row r="277" spans="1:9" x14ac:dyDescent="0.55000000000000004">
      <c r="A277">
        <v>2018</v>
      </c>
      <c r="B277" t="s">
        <v>53</v>
      </c>
      <c r="C277" t="s">
        <v>77</v>
      </c>
      <c r="D277" t="s">
        <v>191</v>
      </c>
      <c r="E277">
        <v>79.400000000000006</v>
      </c>
      <c r="F277">
        <v>69.8</v>
      </c>
      <c r="G277" s="11" t="str" cm="1">
        <f t="array" ref="G277">TRIM(RemoveSpecial(D277))</f>
        <v>Bachelor of Engineering (Biomedical Engineering)</v>
      </c>
      <c r="H277" s="11" t="str">
        <f>VLOOKUP(G277,'course-cluster'!$A$2:$C$137,3, FALSE)</f>
        <v>Engineering</v>
      </c>
      <c r="I277" s="12" t="s">
        <v>372</v>
      </c>
    </row>
    <row r="278" spans="1:9" x14ac:dyDescent="0.55000000000000004">
      <c r="A278">
        <v>2016</v>
      </c>
      <c r="B278" t="s">
        <v>53</v>
      </c>
      <c r="C278" t="s">
        <v>226</v>
      </c>
      <c r="D278" t="s">
        <v>84</v>
      </c>
      <c r="E278">
        <v>79.3</v>
      </c>
      <c r="F278">
        <v>65.5</v>
      </c>
      <c r="G278" s="11" t="str" cm="1">
        <f t="array" ref="G278">TRIM(RemoveSpecial(D278))</f>
        <v>Bachelor of Engineering (Environmental Engineering)</v>
      </c>
      <c r="H278" s="11" t="str">
        <f>VLOOKUP(G278,'course-cluster'!$A$2:$C$137,3, FALSE)</f>
        <v>Engineering</v>
      </c>
      <c r="I278" s="12" t="s">
        <v>372</v>
      </c>
    </row>
    <row r="279" spans="1:9" x14ac:dyDescent="0.55000000000000004">
      <c r="A279">
        <v>2014</v>
      </c>
      <c r="B279" t="s">
        <v>53</v>
      </c>
      <c r="C279" t="s">
        <v>77</v>
      </c>
      <c r="D279" t="s">
        <v>86</v>
      </c>
      <c r="E279">
        <v>78.599999999999994</v>
      </c>
      <c r="F279">
        <v>73.8</v>
      </c>
      <c r="G279" s="11" t="str" cm="1">
        <f t="array" ref="G279">TRIM(RemoveSpecial(D279))</f>
        <v>Bachelor of Engineering (Materials Science and Engineering)</v>
      </c>
      <c r="H279" s="11" t="str">
        <f>VLOOKUP(G279,'course-cluster'!$A$2:$C$137,3, FALSE)</f>
        <v>Engineering</v>
      </c>
      <c r="I279" s="12" t="s">
        <v>372</v>
      </c>
    </row>
    <row r="280" spans="1:9" x14ac:dyDescent="0.55000000000000004">
      <c r="A280">
        <v>2016</v>
      </c>
      <c r="B280" t="s">
        <v>146</v>
      </c>
      <c r="C280" t="s">
        <v>162</v>
      </c>
      <c r="D280" t="s">
        <v>163</v>
      </c>
      <c r="E280">
        <v>78.599999999999994</v>
      </c>
      <c r="F280">
        <v>67.900000000000006</v>
      </c>
      <c r="G280" s="11" t="str" cm="1">
        <f t="array" ref="G280">TRIM(RemoveSpecial(D280))</f>
        <v>Bachelor of Science in Chemical Engineering</v>
      </c>
      <c r="H280" s="11" t="str">
        <f>VLOOKUP(G280,'course-cluster'!$A$2:$C$137,3, FALSE)</f>
        <v>Engineering</v>
      </c>
      <c r="I280" s="12" t="s">
        <v>372</v>
      </c>
    </row>
    <row r="281" spans="1:9" x14ac:dyDescent="0.55000000000000004">
      <c r="A281">
        <v>2017</v>
      </c>
      <c r="B281" t="s">
        <v>12</v>
      </c>
      <c r="C281" t="s">
        <v>18</v>
      </c>
      <c r="D281" t="s">
        <v>245</v>
      </c>
      <c r="E281">
        <v>78.3</v>
      </c>
      <c r="F281">
        <v>65.2</v>
      </c>
      <c r="G281" s="11" t="str" cm="1">
        <f t="array" ref="G281">TRIM(RemoveSpecial(D281))</f>
        <v>Bachelor of Engineering (Hons) (Bioengineering)</v>
      </c>
      <c r="H281" s="11" t="str">
        <f>VLOOKUP(G281,'course-cluster'!$A$2:$C$137,3, FALSE)</f>
        <v>Engineering</v>
      </c>
      <c r="I281" s="12" t="s">
        <v>372</v>
      </c>
    </row>
    <row r="282" spans="1:9" x14ac:dyDescent="0.55000000000000004">
      <c r="A282">
        <v>2018</v>
      </c>
      <c r="B282" t="s">
        <v>146</v>
      </c>
      <c r="C282" t="s">
        <v>170</v>
      </c>
      <c r="D282" t="s">
        <v>171</v>
      </c>
      <c r="E282">
        <v>78</v>
      </c>
      <c r="F282">
        <v>70.7</v>
      </c>
      <c r="G282" s="11" t="str" cm="1">
        <f t="array" ref="G282">TRIM(RemoveSpecial(D282))</f>
        <v>Bachelor of Engineering with Honours in Aeronautical Engineering</v>
      </c>
      <c r="H282" s="11" t="str">
        <f>VLOOKUP(G282,'course-cluster'!$A$2:$C$137,3, FALSE)</f>
        <v>Engineering</v>
      </c>
      <c r="I282" s="12" t="s">
        <v>372</v>
      </c>
    </row>
    <row r="283" spans="1:9" x14ac:dyDescent="0.55000000000000004">
      <c r="A283">
        <v>2017</v>
      </c>
      <c r="B283" t="s">
        <v>146</v>
      </c>
      <c r="C283" t="s">
        <v>155</v>
      </c>
      <c r="D283" t="s">
        <v>156</v>
      </c>
      <c r="E283">
        <v>77.3</v>
      </c>
      <c r="F283">
        <v>62.1</v>
      </c>
      <c r="G283" s="11" t="str" cm="1">
        <f t="array" ref="G283">TRIM(RemoveSpecial(D283))</f>
        <v>Bachelor of Engineering with Honours in Chemical Engineering</v>
      </c>
      <c r="H283" s="11" t="str">
        <f>VLOOKUP(G283,'course-cluster'!$A$2:$C$137,3, FALSE)</f>
        <v>Engineering</v>
      </c>
      <c r="I283" s="12" t="s">
        <v>372</v>
      </c>
    </row>
    <row r="284" spans="1:9" x14ac:dyDescent="0.55000000000000004">
      <c r="A284">
        <v>2017</v>
      </c>
      <c r="B284" t="s">
        <v>53</v>
      </c>
      <c r="C284" t="s">
        <v>226</v>
      </c>
      <c r="D284" t="s">
        <v>83</v>
      </c>
      <c r="E284">
        <v>76.5</v>
      </c>
      <c r="F284">
        <v>64.7</v>
      </c>
      <c r="G284" s="11" t="str" cm="1">
        <f t="array" ref="G284">TRIM(RemoveSpecial(D284))</f>
        <v>Bachelor of Engineering (Engineering Science)</v>
      </c>
      <c r="H284" s="11" t="str">
        <f>VLOOKUP(G284,'course-cluster'!$A$2:$C$137,3, FALSE)</f>
        <v>Engineering</v>
      </c>
      <c r="I284" s="12" t="s">
        <v>372</v>
      </c>
    </row>
    <row r="285" spans="1:9" x14ac:dyDescent="0.55000000000000004">
      <c r="A285">
        <v>2015</v>
      </c>
      <c r="B285" t="s">
        <v>146</v>
      </c>
      <c r="C285" t="s">
        <v>170</v>
      </c>
      <c r="D285" t="s">
        <v>173</v>
      </c>
      <c r="E285">
        <v>72.2</v>
      </c>
      <c r="F285">
        <v>61.1</v>
      </c>
      <c r="G285" s="11" t="str" cm="1">
        <f t="array" ref="G285">TRIM(RemoveSpecial(D285))</f>
        <v>Bachelor of Engineering with Honours in Mechanical Design Engineering</v>
      </c>
      <c r="H285" s="11" t="str">
        <f>VLOOKUP(G285,'course-cluster'!$A$2:$C$137,3, FALSE)</f>
        <v>Engineering</v>
      </c>
      <c r="I285" s="12" t="s">
        <v>372</v>
      </c>
    </row>
    <row r="286" spans="1:9" x14ac:dyDescent="0.55000000000000004">
      <c r="A286">
        <v>2017</v>
      </c>
      <c r="B286" t="s">
        <v>12</v>
      </c>
      <c r="C286" t="s">
        <v>18</v>
      </c>
      <c r="D286" t="s">
        <v>254</v>
      </c>
      <c r="E286">
        <v>71.8</v>
      </c>
      <c r="F286">
        <v>64.099999999999994</v>
      </c>
      <c r="G286" s="11" t="str" cm="1">
        <f t="array" ref="G286">TRIM(RemoveSpecial(D286))</f>
        <v>Bachelor of Engineering (Hons) (Environmental Engineering)</v>
      </c>
      <c r="H286" s="11" t="str">
        <f>VLOOKUP(G286,'course-cluster'!$A$2:$C$137,3, FALSE)</f>
        <v>Engineering</v>
      </c>
      <c r="I286" s="12" t="s">
        <v>372</v>
      </c>
    </row>
    <row r="287" spans="1:9" x14ac:dyDescent="0.55000000000000004">
      <c r="A287">
        <v>2019</v>
      </c>
      <c r="B287" t="s">
        <v>53</v>
      </c>
      <c r="C287" t="s">
        <v>77</v>
      </c>
      <c r="D287" t="s">
        <v>448</v>
      </c>
      <c r="E287">
        <v>97.6</v>
      </c>
      <c r="F287">
        <v>96.5</v>
      </c>
      <c r="G287" s="11" t="str" cm="1">
        <f t="array" ref="G287">TRIM(RemoveSpecial(D287))</f>
        <v>Bachelor of Engineering (Industrial and Systems Engineering)</v>
      </c>
      <c r="H287" s="11" t="str">
        <f>VLOOKUP(G287,'course-cluster'!$A$2:$C$137,3, FALSE)</f>
        <v>Engineering</v>
      </c>
      <c r="I287" s="12" t="s">
        <v>372</v>
      </c>
    </row>
    <row r="288" spans="1:9" x14ac:dyDescent="0.55000000000000004">
      <c r="A288">
        <v>2019</v>
      </c>
      <c r="B288" t="s">
        <v>146</v>
      </c>
      <c r="C288" t="s">
        <v>170</v>
      </c>
      <c r="D288" t="s">
        <v>564</v>
      </c>
      <c r="E288">
        <v>97</v>
      </c>
      <c r="F288">
        <v>93.899999999999991</v>
      </c>
      <c r="G288" s="11" t="str" cm="1">
        <f t="array" ref="G288">TRIM(RemoveSpecial(D288))</f>
        <v>Bachelor of Engineering with Honours in Mechanical Design Engineering</v>
      </c>
      <c r="H288" s="11" t="str">
        <f>VLOOKUP(G288,'course-cluster'!$A$2:$C$137,3, FALSE)</f>
        <v>Engineering</v>
      </c>
      <c r="I288" s="12" t="s">
        <v>372</v>
      </c>
    </row>
    <row r="289" spans="1:9" x14ac:dyDescent="0.55000000000000004">
      <c r="A289">
        <v>2017</v>
      </c>
      <c r="B289" t="s">
        <v>146</v>
      </c>
      <c r="C289" t="s">
        <v>155</v>
      </c>
      <c r="D289" t="s">
        <v>296</v>
      </c>
      <c r="E289">
        <v>96.2</v>
      </c>
      <c r="F289">
        <v>88.5</v>
      </c>
      <c r="G289" s="11" t="str" cm="1">
        <f t="array" ref="G289">TRIM(RemoveSpecial(D289))</f>
        <v>Bachelor of Engineering with Honours in Marine Engineering</v>
      </c>
      <c r="H289" s="11" t="str">
        <f>VLOOKUP(G289,'course-cluster'!$A$2:$C$137,3, FALSE)</f>
        <v>Engineering</v>
      </c>
      <c r="I289" s="12" t="s">
        <v>372</v>
      </c>
    </row>
    <row r="290" spans="1:9" x14ac:dyDescent="0.55000000000000004">
      <c r="A290">
        <v>2017</v>
      </c>
      <c r="B290" t="s">
        <v>146</v>
      </c>
      <c r="C290" t="s">
        <v>155</v>
      </c>
      <c r="D290" t="s">
        <v>297</v>
      </c>
      <c r="E290">
        <v>95.5</v>
      </c>
      <c r="F290">
        <v>95.5</v>
      </c>
      <c r="G290" s="11" t="str" cm="1">
        <f t="array" ref="G290">TRIM(RemoveSpecial(D290))</f>
        <v>Bachelor of Engineering with Honours in Naval Architecture</v>
      </c>
      <c r="H290" s="11" t="str">
        <f>VLOOKUP(G290,'course-cluster'!$A$2:$C$137,3, FALSE)</f>
        <v>Engineering</v>
      </c>
      <c r="I290" s="12" t="s">
        <v>372</v>
      </c>
    </row>
    <row r="291" spans="1:9" x14ac:dyDescent="0.55000000000000004">
      <c r="A291">
        <v>2019</v>
      </c>
      <c r="B291" t="s">
        <v>146</v>
      </c>
      <c r="C291" t="s">
        <v>330</v>
      </c>
      <c r="D291" t="s">
        <v>543</v>
      </c>
      <c r="E291">
        <v>93.8</v>
      </c>
      <c r="F291">
        <v>90.600000000000009</v>
      </c>
      <c r="G291" s="11" t="str" cm="1">
        <f t="array" ref="G291">TRIM(RemoveSpecial(D291))</f>
        <v>Bachelor of Engineering with Honours in Sustainable Infrastructure Engineering (Land)</v>
      </c>
      <c r="H291" s="11" t="str">
        <f>VLOOKUP(G291,'course-cluster'!$A$2:$C$137,3, FALSE)</f>
        <v>Engineering</v>
      </c>
      <c r="I291" s="12" t="s">
        <v>372</v>
      </c>
    </row>
    <row r="292" spans="1:9" x14ac:dyDescent="0.55000000000000004">
      <c r="A292">
        <v>2019</v>
      </c>
      <c r="B292" t="s">
        <v>146</v>
      </c>
      <c r="C292" t="s">
        <v>170</v>
      </c>
      <c r="D292" t="s">
        <v>565</v>
      </c>
      <c r="E292">
        <v>93.2</v>
      </c>
      <c r="F292">
        <v>83.1</v>
      </c>
      <c r="G292" s="11" t="str" cm="1">
        <f t="array" ref="G292">TRIM(RemoveSpecial(D292))</f>
        <v>Bachelor of Engineering with Honours in Mechatronics</v>
      </c>
      <c r="H292" s="11" t="str">
        <f>VLOOKUP(G292,'course-cluster'!$A$2:$C$137,3, FALSE)</f>
        <v>Engineering</v>
      </c>
      <c r="I292" s="12" t="s">
        <v>372</v>
      </c>
    </row>
    <row r="293" spans="1:9" x14ac:dyDescent="0.55000000000000004">
      <c r="A293">
        <v>2019</v>
      </c>
      <c r="B293" t="s">
        <v>146</v>
      </c>
      <c r="C293" t="s">
        <v>547</v>
      </c>
      <c r="D293" t="s">
        <v>550</v>
      </c>
      <c r="E293">
        <v>93</v>
      </c>
      <c r="F293">
        <v>88.4</v>
      </c>
      <c r="G293" s="11" t="str" cm="1">
        <f t="array" ref="G293">TRIM(RemoveSpecial(D293))</f>
        <v>Bachelor of Food Technology with Honours</v>
      </c>
      <c r="H293" s="11" t="str">
        <f>VLOOKUP(G293,'course-cluster'!$A$2:$C$137,3, FALSE)</f>
        <v>Engineering</v>
      </c>
      <c r="I293" s="12" t="s">
        <v>372</v>
      </c>
    </row>
    <row r="294" spans="1:9" x14ac:dyDescent="0.55000000000000004">
      <c r="A294">
        <v>2019</v>
      </c>
      <c r="B294" t="s">
        <v>53</v>
      </c>
      <c r="C294" t="s">
        <v>77</v>
      </c>
      <c r="D294" t="s">
        <v>443</v>
      </c>
      <c r="E294">
        <v>92.4</v>
      </c>
      <c r="F294">
        <v>86.7</v>
      </c>
      <c r="G294" s="11" t="str" cm="1">
        <f t="array" ref="G294">TRIM(RemoveSpecial(D294))</f>
        <v>Bachelor of Engineering (Chemical Engineering)</v>
      </c>
      <c r="H294" s="11" t="str">
        <f>VLOOKUP(G294,'course-cluster'!$A$2:$C$137,3, FALSE)</f>
        <v>Engineering</v>
      </c>
      <c r="I294" s="12" t="s">
        <v>372</v>
      </c>
    </row>
    <row r="295" spans="1:9" x14ac:dyDescent="0.55000000000000004">
      <c r="A295">
        <v>2018</v>
      </c>
      <c r="B295" t="s">
        <v>146</v>
      </c>
      <c r="C295" t="s">
        <v>155</v>
      </c>
      <c r="D295" t="s">
        <v>298</v>
      </c>
      <c r="E295">
        <v>92.3</v>
      </c>
      <c r="F295">
        <v>84.6</v>
      </c>
      <c r="G295" s="11" t="str" cm="1">
        <f t="array" ref="G295">TRIM(RemoveSpecial(D295))</f>
        <v>Bachelor of Engineering with Honours in Offshore Engineering</v>
      </c>
      <c r="H295" s="11" t="str">
        <f>VLOOKUP(G295,'course-cluster'!$A$2:$C$137,3, FALSE)</f>
        <v>Engineering</v>
      </c>
      <c r="I295" s="12" t="s">
        <v>372</v>
      </c>
    </row>
    <row r="296" spans="1:9" x14ac:dyDescent="0.55000000000000004">
      <c r="A296">
        <v>2019</v>
      </c>
      <c r="B296" t="s">
        <v>146</v>
      </c>
      <c r="C296" t="s">
        <v>330</v>
      </c>
      <c r="D296" t="s">
        <v>541</v>
      </c>
      <c r="E296">
        <v>92.2</v>
      </c>
      <c r="F296">
        <v>90.600000000000009</v>
      </c>
      <c r="G296" s="11" t="str" cm="1">
        <f t="array" ref="G296">TRIM(RemoveSpecial(D296))</f>
        <v>Bachelor of Engineering with Honours in Pharmaceutical Engineering</v>
      </c>
      <c r="H296" s="11" t="str">
        <f>VLOOKUP(G296,'course-cluster'!$A$2:$C$137,3, FALSE)</f>
        <v>Engineering</v>
      </c>
      <c r="I296" s="12" t="s">
        <v>372</v>
      </c>
    </row>
    <row r="297" spans="1:9" x14ac:dyDescent="0.55000000000000004">
      <c r="A297">
        <v>2019</v>
      </c>
      <c r="B297" t="s">
        <v>146</v>
      </c>
      <c r="C297" t="s">
        <v>548</v>
      </c>
      <c r="D297" t="s">
        <v>552</v>
      </c>
      <c r="E297">
        <v>91.3</v>
      </c>
      <c r="F297">
        <v>82.6</v>
      </c>
      <c r="G297" s="11" t="str" cm="1">
        <f t="array" ref="G297">TRIM(RemoveSpecial(D297))</f>
        <v>Bachelor of Engineering with Honours in Electrical Power Engineering</v>
      </c>
      <c r="H297" s="11" t="str">
        <f>VLOOKUP(G297,'course-cluster'!$A$2:$C$137,3, FALSE)</f>
        <v>Engineering</v>
      </c>
      <c r="I297" s="12" t="s">
        <v>372</v>
      </c>
    </row>
    <row r="298" spans="1:9" x14ac:dyDescent="0.55000000000000004">
      <c r="A298">
        <v>2019</v>
      </c>
      <c r="B298" t="s">
        <v>207</v>
      </c>
      <c r="D298" t="s">
        <v>527</v>
      </c>
      <c r="E298">
        <v>89.9</v>
      </c>
      <c r="F298">
        <v>87.3</v>
      </c>
      <c r="G298" s="11" t="str" cm="1">
        <f t="array" ref="G298">TRIM(RemoveSpecial(D298))</f>
        <v>Bachelor of Engineering (Engineering Systems and Design)</v>
      </c>
      <c r="H298" s="11" t="str">
        <f>VLOOKUP(G298,'course-cluster'!$A$2:$C$137,3, FALSE)</f>
        <v>Engineering</v>
      </c>
      <c r="I298" s="12" t="s">
        <v>372</v>
      </c>
    </row>
    <row r="299" spans="1:9" x14ac:dyDescent="0.55000000000000004">
      <c r="A299">
        <v>2019</v>
      </c>
      <c r="B299" t="s">
        <v>53</v>
      </c>
      <c r="C299" t="s">
        <v>77</v>
      </c>
      <c r="D299" t="s">
        <v>445</v>
      </c>
      <c r="E299">
        <v>89.600000000000009</v>
      </c>
      <c r="F299">
        <v>85.2</v>
      </c>
      <c r="G299" s="11" t="str" cm="1">
        <f t="array" ref="G299">TRIM(RemoveSpecial(D299))</f>
        <v>Bachelor of Engineering (Electrical Engineering)</v>
      </c>
      <c r="H299" s="11" t="str">
        <f>VLOOKUP(G299,'course-cluster'!$A$2:$C$137,3, FALSE)</f>
        <v>Engineering</v>
      </c>
      <c r="I299" s="12" t="s">
        <v>372</v>
      </c>
    </row>
    <row r="300" spans="1:9" x14ac:dyDescent="0.55000000000000004">
      <c r="A300">
        <v>2019</v>
      </c>
      <c r="B300" t="s">
        <v>53</v>
      </c>
      <c r="C300" t="s">
        <v>77</v>
      </c>
      <c r="D300" t="s">
        <v>447</v>
      </c>
      <c r="E300">
        <v>89.5</v>
      </c>
      <c r="F300">
        <v>80.7</v>
      </c>
      <c r="G300" s="11" t="str" cm="1">
        <f t="array" ref="G300">TRIM(RemoveSpecial(D300))</f>
        <v>Bachelor of Engineering (Environmental Engineering)</v>
      </c>
      <c r="H300" s="11" t="str">
        <f>VLOOKUP(G300,'course-cluster'!$A$2:$C$137,3, FALSE)</f>
        <v>Engineering</v>
      </c>
      <c r="I300" s="12" t="s">
        <v>372</v>
      </c>
    </row>
    <row r="301" spans="1:9" x14ac:dyDescent="0.55000000000000004">
      <c r="A301">
        <v>2019</v>
      </c>
      <c r="B301" t="s">
        <v>53</v>
      </c>
      <c r="C301" t="s">
        <v>77</v>
      </c>
      <c r="D301" t="s">
        <v>450</v>
      </c>
      <c r="E301">
        <v>88.6</v>
      </c>
      <c r="F301">
        <v>86.7</v>
      </c>
      <c r="G301" s="11" t="str" cm="1">
        <f t="array" ref="G301">TRIM(RemoveSpecial(D301))</f>
        <v>Bachelor of Engineering (Mechanical Engineering)</v>
      </c>
      <c r="H301" s="11" t="str">
        <f>VLOOKUP(G301,'course-cluster'!$A$2:$C$137,3, FALSE)</f>
        <v>Engineering</v>
      </c>
      <c r="I301" s="12" t="s">
        <v>372</v>
      </c>
    </row>
    <row r="302" spans="1:9" x14ac:dyDescent="0.55000000000000004">
      <c r="A302">
        <v>2014</v>
      </c>
      <c r="B302" t="s">
        <v>53</v>
      </c>
      <c r="C302" t="s">
        <v>77</v>
      </c>
      <c r="D302" t="s">
        <v>126</v>
      </c>
      <c r="E302">
        <v>87.5</v>
      </c>
      <c r="F302">
        <v>77.099999999999994</v>
      </c>
      <c r="G302" s="11" t="str" cm="1">
        <f t="array" ref="G302">TRIM(RemoveSpecial(D302))</f>
        <v>Bachelor of Engineering (Biomedical Engineering)</v>
      </c>
      <c r="H302" s="11" t="str">
        <f>VLOOKUP(G302,'course-cluster'!$A$2:$C$137,3, FALSE)</f>
        <v>Engineering</v>
      </c>
      <c r="I302" s="12" t="s">
        <v>372</v>
      </c>
    </row>
    <row r="303" spans="1:9" x14ac:dyDescent="0.55000000000000004">
      <c r="A303">
        <v>2019</v>
      </c>
      <c r="B303" t="s">
        <v>53</v>
      </c>
      <c r="C303" t="s">
        <v>77</v>
      </c>
      <c r="D303" t="s">
        <v>446</v>
      </c>
      <c r="E303">
        <v>84.6</v>
      </c>
      <c r="F303">
        <v>84.6</v>
      </c>
      <c r="G303" s="11" t="str" cm="1">
        <f t="array" ref="G303">TRIM(RemoveSpecial(D303))</f>
        <v>Bachelor of Engineering (Engineering Science)</v>
      </c>
      <c r="H303" s="11" t="str">
        <f>VLOOKUP(G303,'course-cluster'!$A$2:$C$137,3, FALSE)</f>
        <v>Engineering</v>
      </c>
      <c r="I303" s="12" t="s">
        <v>372</v>
      </c>
    </row>
    <row r="304" spans="1:9" x14ac:dyDescent="0.55000000000000004">
      <c r="A304">
        <v>2019</v>
      </c>
      <c r="B304" t="s">
        <v>146</v>
      </c>
      <c r="C304" t="s">
        <v>170</v>
      </c>
      <c r="D304" t="s">
        <v>563</v>
      </c>
      <c r="E304">
        <v>82.399999999999991</v>
      </c>
      <c r="F304">
        <v>67.600000000000009</v>
      </c>
      <c r="G304" s="11" t="str" cm="1">
        <f t="array" ref="G304">TRIM(RemoveSpecial(D304))</f>
        <v>Bachelor of Engineering with Honours in Aerospace Systems</v>
      </c>
      <c r="H304" s="11" t="str">
        <f>VLOOKUP(G304,'course-cluster'!$A$2:$C$137,3, FALSE)</f>
        <v>Engineering</v>
      </c>
      <c r="I304" s="12" t="s">
        <v>372</v>
      </c>
    </row>
    <row r="305" spans="1:9" x14ac:dyDescent="0.55000000000000004">
      <c r="A305">
        <v>2017</v>
      </c>
      <c r="B305" t="s">
        <v>12</v>
      </c>
      <c r="C305" t="s">
        <v>18</v>
      </c>
      <c r="D305" t="s">
        <v>246</v>
      </c>
      <c r="E305">
        <v>82.3</v>
      </c>
      <c r="F305">
        <v>75.3</v>
      </c>
      <c r="G305" s="11" t="str" cm="1">
        <f t="array" ref="G305">TRIM(RemoveSpecial(D305))</f>
        <v>Bachelor of Engineering (Hons) (Chemical And Biomolecular Engineering)</v>
      </c>
      <c r="H305" s="11" t="str">
        <f>VLOOKUP(G305,'course-cluster'!$A$2:$C$137,3, FALSE)</f>
        <v>Engineering</v>
      </c>
      <c r="I305" s="12" t="s">
        <v>372</v>
      </c>
    </row>
    <row r="306" spans="1:9" x14ac:dyDescent="0.55000000000000004">
      <c r="A306">
        <v>2019</v>
      </c>
      <c r="B306" t="s">
        <v>146</v>
      </c>
      <c r="C306" t="s">
        <v>548</v>
      </c>
      <c r="D306" t="s">
        <v>551</v>
      </c>
      <c r="E306">
        <v>82.199999999999989</v>
      </c>
      <c r="F306">
        <v>73.3</v>
      </c>
      <c r="G306" s="11" t="str" cm="1">
        <f t="array" ref="G306">TRIM(RemoveSpecial(D306))</f>
        <v>Bachelor of Engineering with Honours in Chemical Engineering</v>
      </c>
      <c r="H306" s="11" t="str">
        <f>VLOOKUP(G306,'course-cluster'!$A$2:$C$137,3, FALSE)</f>
        <v>Engineering</v>
      </c>
      <c r="I306" s="12" t="s">
        <v>372</v>
      </c>
    </row>
    <row r="307" spans="1:9" x14ac:dyDescent="0.55000000000000004">
      <c r="A307">
        <v>2019</v>
      </c>
      <c r="B307" t="s">
        <v>146</v>
      </c>
      <c r="C307" t="s">
        <v>162</v>
      </c>
      <c r="D307" t="s">
        <v>558</v>
      </c>
      <c r="E307">
        <v>81.8</v>
      </c>
      <c r="F307">
        <v>77.3</v>
      </c>
      <c r="G307" s="11" t="str" cm="1">
        <f t="array" ref="G307">TRIM(RemoveSpecial(D307))</f>
        <v>Bachelor of Science in Chemical Engineering</v>
      </c>
      <c r="H307" s="11" t="str">
        <f>VLOOKUP(G307,'course-cluster'!$A$2:$C$137,3, FALSE)</f>
        <v>Engineering</v>
      </c>
      <c r="I307" s="12" t="s">
        <v>372</v>
      </c>
    </row>
    <row r="308" spans="1:9" x14ac:dyDescent="0.55000000000000004">
      <c r="A308">
        <v>2019</v>
      </c>
      <c r="B308" t="s">
        <v>53</v>
      </c>
      <c r="C308" t="s">
        <v>77</v>
      </c>
      <c r="D308" t="s">
        <v>191</v>
      </c>
      <c r="E308">
        <v>80.400000000000006</v>
      </c>
      <c r="F308">
        <v>68.600000000000009</v>
      </c>
      <c r="G308" s="11" t="str" cm="1">
        <f t="array" ref="G308">TRIM(RemoveSpecial(D308))</f>
        <v>Bachelor of Engineering (Biomedical Engineering)</v>
      </c>
      <c r="H308" s="11" t="str">
        <f>VLOOKUP(G308,'course-cluster'!$A$2:$C$137,3, FALSE)</f>
        <v>Engineering</v>
      </c>
      <c r="I308" s="12" t="s">
        <v>372</v>
      </c>
    </row>
    <row r="309" spans="1:9" x14ac:dyDescent="0.55000000000000004">
      <c r="A309">
        <v>2019</v>
      </c>
      <c r="B309" t="s">
        <v>146</v>
      </c>
      <c r="C309" t="s">
        <v>548</v>
      </c>
      <c r="D309" t="s">
        <v>554</v>
      </c>
      <c r="E309">
        <v>80</v>
      </c>
      <c r="F309">
        <v>66.7</v>
      </c>
      <c r="G309" s="11" t="str" cm="1">
        <f t="array" ref="G309">TRIM(RemoveSpecial(D309))</f>
        <v>Bachelor of Engineering with Honours in Mechanical Design and Manufacturing Engineering</v>
      </c>
      <c r="H309" s="11" t="str">
        <f>VLOOKUP(G309,'course-cluster'!$A$2:$C$137,3, FALSE)</f>
        <v>Engineering</v>
      </c>
      <c r="I309" s="12" t="s">
        <v>372</v>
      </c>
    </row>
    <row r="310" spans="1:9" x14ac:dyDescent="0.55000000000000004">
      <c r="A310">
        <v>2019</v>
      </c>
      <c r="B310" t="s">
        <v>53</v>
      </c>
      <c r="C310" t="s">
        <v>77</v>
      </c>
      <c r="D310" t="s">
        <v>449</v>
      </c>
      <c r="E310">
        <v>78.600000000000009</v>
      </c>
      <c r="F310">
        <v>76.2</v>
      </c>
      <c r="G310" s="11" t="str" cm="1">
        <f t="array" ref="G310">TRIM(RemoveSpecial(D310))</f>
        <v>Bachelor of Engineering (Materials Science and Engineering)</v>
      </c>
      <c r="H310" s="11" t="str">
        <f>VLOOKUP(G310,'course-cluster'!$A$2:$C$137,3, FALSE)</f>
        <v>Engineering</v>
      </c>
      <c r="I310" s="12" t="s">
        <v>372</v>
      </c>
    </row>
    <row r="311" spans="1:9" x14ac:dyDescent="0.55000000000000004">
      <c r="A311">
        <v>2019</v>
      </c>
      <c r="B311" t="s">
        <v>146</v>
      </c>
      <c r="C311" t="s">
        <v>170</v>
      </c>
      <c r="D311" t="s">
        <v>562</v>
      </c>
      <c r="E311">
        <v>77.100000000000009</v>
      </c>
      <c r="F311">
        <v>64.600000000000009</v>
      </c>
      <c r="G311" s="11" t="str" cm="1">
        <f t="array" ref="G311">TRIM(RemoveSpecial(D311))</f>
        <v>Bachelor of Engineering with Honours in Aeronautical Engineering</v>
      </c>
      <c r="H311" s="11" t="str">
        <f>VLOOKUP(G311,'course-cluster'!$A$2:$C$137,3, FALSE)</f>
        <v>Engineering</v>
      </c>
      <c r="I311" s="12" t="s">
        <v>372</v>
      </c>
    </row>
    <row r="312" spans="1:9" x14ac:dyDescent="0.55000000000000004">
      <c r="A312">
        <v>2017</v>
      </c>
      <c r="B312" t="s">
        <v>12</v>
      </c>
      <c r="C312" t="s">
        <v>50</v>
      </c>
      <c r="D312" t="s">
        <v>281</v>
      </c>
      <c r="E312">
        <v>100</v>
      </c>
      <c r="F312">
        <v>100</v>
      </c>
      <c r="G312" s="11" t="str" cm="1">
        <f t="array" ref="G312">TRIM(RemoveSpecial(D312))</f>
        <v>Bachelor of Arts (Hons) (Education)</v>
      </c>
      <c r="H312" s="11" t="e">
        <f>VLOOKUP(G312,'course-cluster'!$A$2:$C$137,3, FALSE)</f>
        <v>#N/A</v>
      </c>
      <c r="I312" s="12" t="s">
        <v>354</v>
      </c>
    </row>
    <row r="313" spans="1:9" x14ac:dyDescent="0.55000000000000004">
      <c r="A313">
        <v>2019</v>
      </c>
      <c r="B313" t="s">
        <v>53</v>
      </c>
      <c r="C313" t="s">
        <v>289</v>
      </c>
      <c r="D313" t="s">
        <v>471</v>
      </c>
      <c r="E313">
        <v>96</v>
      </c>
      <c r="F313">
        <v>77</v>
      </c>
      <c r="G313" s="11" t="str" cm="1">
        <f t="array" ref="G313">TRIM(RemoveSpecial(D313))</f>
        <v>Bachelor of Arts with Honours</v>
      </c>
      <c r="H313" s="11" t="e">
        <f>VLOOKUP(G313,'course-cluster'!$A$2:$C$137,3, FALSE)</f>
        <v>#N/A</v>
      </c>
      <c r="I313" s="12" t="s">
        <v>354</v>
      </c>
    </row>
    <row r="314" spans="1:9" x14ac:dyDescent="0.55000000000000004">
      <c r="A314">
        <v>2017</v>
      </c>
      <c r="B314" t="s">
        <v>53</v>
      </c>
      <c r="C314" t="s">
        <v>289</v>
      </c>
      <c r="D314" t="s">
        <v>290</v>
      </c>
      <c r="E314">
        <v>93.5</v>
      </c>
      <c r="F314">
        <v>76.599999999999994</v>
      </c>
      <c r="G314" s="11" t="str" cm="1">
        <f t="array" ref="G314">TRIM(RemoveSpecial(D314))</f>
        <v>Bachelor of Arts with Honours</v>
      </c>
      <c r="H314" s="11" t="e">
        <f>VLOOKUP(G314,'course-cluster'!$A$2:$C$137,3, FALSE)</f>
        <v>#N/A</v>
      </c>
      <c r="I314" s="12" t="s">
        <v>354</v>
      </c>
    </row>
    <row r="315" spans="1:9" x14ac:dyDescent="0.55000000000000004">
      <c r="A315">
        <v>2018</v>
      </c>
      <c r="B315" t="s">
        <v>53</v>
      </c>
      <c r="C315" t="s">
        <v>289</v>
      </c>
      <c r="D315" t="s">
        <v>290</v>
      </c>
      <c r="E315">
        <v>90.5</v>
      </c>
      <c r="F315">
        <v>81.099999999999994</v>
      </c>
      <c r="G315" s="11" t="str" cm="1">
        <f t="array" ref="G315">TRIM(RemoveSpecial(D315))</f>
        <v>Bachelor of Arts with Honours</v>
      </c>
      <c r="H315" s="11" t="e">
        <f>VLOOKUP(G315,'course-cluster'!$A$2:$C$137,3, FALSE)</f>
        <v>#N/A</v>
      </c>
      <c r="I315" s="12" t="s">
        <v>354</v>
      </c>
    </row>
    <row r="316" spans="1:9" x14ac:dyDescent="0.55000000000000004">
      <c r="A316">
        <v>2015</v>
      </c>
      <c r="B316" t="s">
        <v>53</v>
      </c>
      <c r="C316" t="s">
        <v>63</v>
      </c>
      <c r="D316" t="s">
        <v>64</v>
      </c>
      <c r="E316">
        <v>92.6</v>
      </c>
      <c r="F316">
        <v>85.2</v>
      </c>
      <c r="G316" s="11" t="str" cm="1">
        <f t="array" ref="G316">TRIM(RemoveSpecial(D316))</f>
        <v>Bachelor of Computing (Communications and Media)</v>
      </c>
      <c r="H316" s="11" t="e">
        <f>VLOOKUP(G316,'course-cluster'!$A$2:$C$137,3, FALSE)</f>
        <v>#N/A</v>
      </c>
      <c r="I316" s="12" t="s">
        <v>409</v>
      </c>
    </row>
    <row r="317" spans="1:9" x14ac:dyDescent="0.55000000000000004">
      <c r="A317">
        <v>2013</v>
      </c>
      <c r="B317" t="s">
        <v>53</v>
      </c>
      <c r="C317" t="s">
        <v>63</v>
      </c>
      <c r="D317" t="s">
        <v>64</v>
      </c>
      <c r="E317">
        <v>88.9</v>
      </c>
      <c r="F317">
        <v>77.8</v>
      </c>
      <c r="G317" s="11" t="str" cm="1">
        <f t="array" ref="G317">TRIM(RemoveSpecial(D317))</f>
        <v>Bachelor of Computing (Communications and Media)</v>
      </c>
      <c r="H317" s="11" t="e">
        <f>VLOOKUP(G317,'course-cluster'!$A$2:$C$137,3, FALSE)</f>
        <v>#N/A</v>
      </c>
      <c r="I317" s="12" t="s">
        <v>409</v>
      </c>
    </row>
    <row r="318" spans="1:9" x14ac:dyDescent="0.55000000000000004">
      <c r="A318">
        <v>2014</v>
      </c>
      <c r="B318" t="s">
        <v>53</v>
      </c>
      <c r="C318" t="s">
        <v>63</v>
      </c>
      <c r="D318" t="s">
        <v>64</v>
      </c>
      <c r="E318">
        <v>82.1</v>
      </c>
      <c r="F318">
        <v>82.1</v>
      </c>
      <c r="G318" s="11" t="str" cm="1">
        <f t="array" ref="G318">TRIM(RemoveSpecial(D318))</f>
        <v>Bachelor of Computing (Communications and Media)</v>
      </c>
      <c r="H318" s="11" t="e">
        <f>VLOOKUP(G318,'course-cluster'!$A$2:$C$137,3, FALSE)</f>
        <v>#N/A</v>
      </c>
      <c r="I318" s="12" t="s">
        <v>409</v>
      </c>
    </row>
    <row r="319" spans="1:9" x14ac:dyDescent="0.55000000000000004">
      <c r="A319">
        <v>2015</v>
      </c>
      <c r="B319" t="s">
        <v>53</v>
      </c>
      <c r="C319" t="s">
        <v>63</v>
      </c>
      <c r="D319" t="s">
        <v>68</v>
      </c>
      <c r="E319">
        <v>90.3</v>
      </c>
      <c r="F319">
        <v>87.1</v>
      </c>
      <c r="G319" s="11" t="str" cm="1">
        <f t="array" ref="G319">TRIM(RemoveSpecial(D319))</f>
        <v>Bachelor of Computing (Electronic Commerce)</v>
      </c>
      <c r="H319" s="11" t="e">
        <f>VLOOKUP(G319,'course-cluster'!$A$2:$C$137,3, FALSE)</f>
        <v>#N/A</v>
      </c>
      <c r="I319" s="12" t="s">
        <v>409</v>
      </c>
    </row>
    <row r="320" spans="1:9" x14ac:dyDescent="0.55000000000000004">
      <c r="A320">
        <v>2013</v>
      </c>
      <c r="B320" t="s">
        <v>53</v>
      </c>
      <c r="C320" t="s">
        <v>63</v>
      </c>
      <c r="D320" t="s">
        <v>68</v>
      </c>
      <c r="E320">
        <v>88.9</v>
      </c>
      <c r="F320">
        <v>83.3</v>
      </c>
      <c r="G320" s="11" t="str" cm="1">
        <f t="array" ref="G320">TRIM(RemoveSpecial(D320))</f>
        <v>Bachelor of Computing (Electronic Commerce)</v>
      </c>
      <c r="H320" s="11" t="e">
        <f>VLOOKUP(G320,'course-cluster'!$A$2:$C$137,3, FALSE)</f>
        <v>#N/A</v>
      </c>
      <c r="I320" s="12" t="s">
        <v>409</v>
      </c>
    </row>
    <row r="321" spans="1:9" x14ac:dyDescent="0.55000000000000004">
      <c r="A321">
        <v>2014</v>
      </c>
      <c r="B321" t="s">
        <v>53</v>
      </c>
      <c r="C321" t="s">
        <v>63</v>
      </c>
      <c r="D321" t="s">
        <v>68</v>
      </c>
      <c r="E321">
        <v>85.7</v>
      </c>
      <c r="F321">
        <v>85.7</v>
      </c>
      <c r="G321" s="11" t="str" cm="1">
        <f t="array" ref="G321">TRIM(RemoveSpecial(D321))</f>
        <v>Bachelor of Computing (Electronic Commerce)</v>
      </c>
      <c r="H321" s="11" t="e">
        <f>VLOOKUP(G321,'course-cluster'!$A$2:$C$137,3, FALSE)</f>
        <v>#N/A</v>
      </c>
      <c r="I321" s="12" t="s">
        <v>409</v>
      </c>
    </row>
    <row r="322" spans="1:9" x14ac:dyDescent="0.55000000000000004">
      <c r="A322">
        <v>2013</v>
      </c>
      <c r="B322" t="s">
        <v>53</v>
      </c>
      <c r="C322" t="s">
        <v>70</v>
      </c>
      <c r="D322" t="s">
        <v>71</v>
      </c>
      <c r="E322">
        <v>100</v>
      </c>
      <c r="F322">
        <v>100</v>
      </c>
      <c r="G322" s="11" t="str" cm="1">
        <f t="array" ref="G322">TRIM(RemoveSpecial(D322))</f>
        <v>Bachelor of Dental Surgery</v>
      </c>
      <c r="H322" s="11" t="e">
        <f>VLOOKUP(G322,'course-cluster'!$A$2:$C$137,3, FALSE)</f>
        <v>#N/A</v>
      </c>
      <c r="I322" s="12" t="s">
        <v>384</v>
      </c>
    </row>
    <row r="323" spans="1:9" x14ac:dyDescent="0.55000000000000004">
      <c r="A323">
        <v>2014</v>
      </c>
      <c r="B323" t="s">
        <v>53</v>
      </c>
      <c r="C323" t="s">
        <v>90</v>
      </c>
      <c r="D323" t="s">
        <v>92</v>
      </c>
      <c r="E323">
        <v>100</v>
      </c>
      <c r="F323">
        <v>95.6</v>
      </c>
      <c r="G323" s="11" t="str" cm="1">
        <f t="array" ref="G323">TRIM(RemoveSpecial(D323))</f>
        <v>Bachelor of Science (Nursing)</v>
      </c>
      <c r="H323" s="11" t="str">
        <f>VLOOKUP(G323,'course-cluster'!$A$2:$C$137,3, FALSE)</f>
        <v>Health Sciences</v>
      </c>
      <c r="I323" s="12" t="s">
        <v>384</v>
      </c>
    </row>
    <row r="324" spans="1:9" x14ac:dyDescent="0.55000000000000004">
      <c r="A324">
        <v>2013</v>
      </c>
      <c r="B324" t="s">
        <v>53</v>
      </c>
      <c r="C324" t="s">
        <v>90</v>
      </c>
      <c r="D324" t="s">
        <v>93</v>
      </c>
      <c r="E324">
        <v>100</v>
      </c>
      <c r="F324">
        <v>100</v>
      </c>
      <c r="G324" s="11" t="str" cm="1">
        <f t="array" ref="G324">TRIM(RemoveSpecial(D324))</f>
        <v>Bachelor of Science (Nursing) (Hons)</v>
      </c>
      <c r="H324" s="11" t="str">
        <f>VLOOKUP(G324,'course-cluster'!$A$2:$C$137,3, FALSE)</f>
        <v>Health Sciences</v>
      </c>
      <c r="I324" s="12" t="s">
        <v>384</v>
      </c>
    </row>
    <row r="325" spans="1:9" x14ac:dyDescent="0.55000000000000004">
      <c r="A325">
        <v>2014</v>
      </c>
      <c r="B325" t="s">
        <v>53</v>
      </c>
      <c r="C325" t="s">
        <v>90</v>
      </c>
      <c r="D325" t="s">
        <v>93</v>
      </c>
      <c r="E325">
        <v>100</v>
      </c>
      <c r="F325">
        <v>100</v>
      </c>
      <c r="G325" s="11" t="str" cm="1">
        <f t="array" ref="G325">TRIM(RemoveSpecial(D325))</f>
        <v>Bachelor of Science (Nursing) (Hons)</v>
      </c>
      <c r="H325" s="11" t="str">
        <f>VLOOKUP(G325,'course-cluster'!$A$2:$C$137,3, FALSE)</f>
        <v>Health Sciences</v>
      </c>
      <c r="I325" s="12" t="s">
        <v>384</v>
      </c>
    </row>
    <row r="326" spans="1:9" x14ac:dyDescent="0.55000000000000004">
      <c r="A326">
        <v>2015</v>
      </c>
      <c r="B326" t="s">
        <v>53</v>
      </c>
      <c r="C326" t="s">
        <v>90</v>
      </c>
      <c r="D326" t="s">
        <v>93</v>
      </c>
      <c r="E326">
        <v>100</v>
      </c>
      <c r="F326">
        <v>100</v>
      </c>
      <c r="G326" s="11" t="str" cm="1">
        <f t="array" ref="G326">TRIM(RemoveSpecial(D326))</f>
        <v>Bachelor of Science (Nursing) (Hons)</v>
      </c>
      <c r="H326" s="11" t="str">
        <f>VLOOKUP(G326,'course-cluster'!$A$2:$C$137,3, FALSE)</f>
        <v>Health Sciences</v>
      </c>
      <c r="I326" s="12" t="s">
        <v>384</v>
      </c>
    </row>
    <row r="327" spans="1:9" x14ac:dyDescent="0.55000000000000004">
      <c r="A327">
        <v>2014</v>
      </c>
      <c r="B327" t="s">
        <v>53</v>
      </c>
      <c r="C327" t="s">
        <v>70</v>
      </c>
      <c r="D327" t="s">
        <v>71</v>
      </c>
      <c r="E327">
        <v>100</v>
      </c>
      <c r="F327">
        <v>100</v>
      </c>
      <c r="G327" s="11" t="str" cm="1">
        <f t="array" ref="G327">TRIM(RemoveSpecial(D327))</f>
        <v>Bachelor of Dental Surgery</v>
      </c>
      <c r="H327" s="11" t="e">
        <f>VLOOKUP(G327,'course-cluster'!$A$2:$C$137,3, FALSE)</f>
        <v>#N/A</v>
      </c>
      <c r="I327" s="12" t="s">
        <v>384</v>
      </c>
    </row>
    <row r="328" spans="1:9" x14ac:dyDescent="0.55000000000000004">
      <c r="A328">
        <v>2015</v>
      </c>
      <c r="B328" t="s">
        <v>53</v>
      </c>
      <c r="C328" t="s">
        <v>70</v>
      </c>
      <c r="D328" t="s">
        <v>71</v>
      </c>
      <c r="E328">
        <v>100</v>
      </c>
      <c r="F328">
        <v>100</v>
      </c>
      <c r="G328" s="11" t="str" cm="1">
        <f t="array" ref="G328">TRIM(RemoveSpecial(D328))</f>
        <v>Bachelor of Dental Surgery</v>
      </c>
      <c r="H328" s="11" t="e">
        <f>VLOOKUP(G328,'course-cluster'!$A$2:$C$137,3, FALSE)</f>
        <v>#N/A</v>
      </c>
      <c r="I328" s="12" t="s">
        <v>384</v>
      </c>
    </row>
    <row r="329" spans="1:9" x14ac:dyDescent="0.55000000000000004">
      <c r="A329">
        <v>2016</v>
      </c>
      <c r="B329" t="s">
        <v>53</v>
      </c>
      <c r="C329" t="s">
        <v>225</v>
      </c>
      <c r="D329" t="s">
        <v>71</v>
      </c>
      <c r="E329">
        <v>100</v>
      </c>
      <c r="F329">
        <v>100</v>
      </c>
      <c r="G329" s="11" t="str" cm="1">
        <f t="array" ref="G329">TRIM(RemoveSpecial(D329))</f>
        <v>Bachelor of Dental Surgery</v>
      </c>
      <c r="H329" s="11" t="e">
        <f>VLOOKUP(G329,'course-cluster'!$A$2:$C$137,3, FALSE)</f>
        <v>#N/A</v>
      </c>
      <c r="I329" s="12" t="s">
        <v>384</v>
      </c>
    </row>
    <row r="330" spans="1:9" x14ac:dyDescent="0.55000000000000004">
      <c r="A330">
        <v>2017</v>
      </c>
      <c r="B330" t="s">
        <v>53</v>
      </c>
      <c r="C330" t="s">
        <v>225</v>
      </c>
      <c r="D330" t="s">
        <v>71</v>
      </c>
      <c r="E330">
        <v>100</v>
      </c>
      <c r="F330">
        <v>100</v>
      </c>
      <c r="G330" s="11" t="str" cm="1">
        <f t="array" ref="G330">TRIM(RemoveSpecial(D330))</f>
        <v>Bachelor of Dental Surgery</v>
      </c>
      <c r="H330" s="11" t="e">
        <f>VLOOKUP(G330,'course-cluster'!$A$2:$C$137,3, FALSE)</f>
        <v>#N/A</v>
      </c>
      <c r="I330" s="12" t="s">
        <v>384</v>
      </c>
    </row>
    <row r="331" spans="1:9" x14ac:dyDescent="0.55000000000000004">
      <c r="A331">
        <v>2018</v>
      </c>
      <c r="B331" t="s">
        <v>53</v>
      </c>
      <c r="C331" t="s">
        <v>70</v>
      </c>
      <c r="D331" t="s">
        <v>71</v>
      </c>
      <c r="E331">
        <v>100</v>
      </c>
      <c r="F331">
        <v>100</v>
      </c>
      <c r="G331" s="11" t="str" cm="1">
        <f t="array" ref="G331">TRIM(RemoveSpecial(D331))</f>
        <v>Bachelor of Dental Surgery</v>
      </c>
      <c r="H331" s="11" t="e">
        <f>VLOOKUP(G331,'course-cluster'!$A$2:$C$137,3, FALSE)</f>
        <v>#N/A</v>
      </c>
      <c r="I331" s="12" t="s">
        <v>384</v>
      </c>
    </row>
    <row r="332" spans="1:9" x14ac:dyDescent="0.55000000000000004">
      <c r="A332">
        <v>2019</v>
      </c>
      <c r="B332" t="s">
        <v>53</v>
      </c>
      <c r="C332" t="s">
        <v>70</v>
      </c>
      <c r="D332" t="s">
        <v>442</v>
      </c>
      <c r="E332">
        <v>100</v>
      </c>
      <c r="F332">
        <v>97.3</v>
      </c>
      <c r="G332" s="11" t="str" cm="1">
        <f t="array" ref="G332">TRIM(RemoveSpecial(D332))</f>
        <v>Bachelor of Dental Surgery</v>
      </c>
      <c r="H332" s="11" t="e">
        <f>VLOOKUP(G332,'course-cluster'!$A$2:$C$137,3, FALSE)</f>
        <v>#N/A</v>
      </c>
      <c r="I332" s="12" t="s">
        <v>384</v>
      </c>
    </row>
    <row r="333" spans="1:9" x14ac:dyDescent="0.55000000000000004">
      <c r="A333">
        <v>2013</v>
      </c>
      <c r="B333" t="s">
        <v>53</v>
      </c>
      <c r="C333" t="s">
        <v>77</v>
      </c>
      <c r="D333" t="s">
        <v>78</v>
      </c>
      <c r="E333">
        <v>74</v>
      </c>
      <c r="F333">
        <v>60</v>
      </c>
      <c r="G333" s="11" t="str" cm="1">
        <f t="array" ref="G333">TRIM(RemoveSpecial(D333))</f>
        <v>Bachelor of Engineering (Bioengineering)</v>
      </c>
      <c r="H333" s="11" t="e">
        <f>VLOOKUP(G333,'course-cluster'!$A$2:$C$137,3, FALSE)</f>
        <v>#N/A</v>
      </c>
      <c r="I333" s="12" t="s">
        <v>372</v>
      </c>
    </row>
    <row r="334" spans="1:9" x14ac:dyDescent="0.55000000000000004">
      <c r="A334">
        <v>2015</v>
      </c>
      <c r="B334" t="s">
        <v>207</v>
      </c>
      <c r="C334" t="s">
        <v>42</v>
      </c>
      <c r="D334" t="s">
        <v>208</v>
      </c>
      <c r="E334">
        <v>92.5</v>
      </c>
      <c r="F334">
        <v>88.1</v>
      </c>
      <c r="G334" s="11" t="str" cm="1">
        <f t="array" ref="G334">TRIM(RemoveSpecial(D334))</f>
        <v>Bachelor of Engineering (Engineering Product Development)</v>
      </c>
      <c r="H334" s="11" t="e">
        <f>VLOOKUP(G334,'course-cluster'!$A$2:$C$137,3, FALSE)</f>
        <v>#N/A</v>
      </c>
      <c r="I334" s="12" t="s">
        <v>372</v>
      </c>
    </row>
    <row r="335" spans="1:9" x14ac:dyDescent="0.55000000000000004">
      <c r="A335">
        <v>2017</v>
      </c>
      <c r="B335" t="s">
        <v>207</v>
      </c>
      <c r="C335" t="s">
        <v>42</v>
      </c>
      <c r="D335" t="s">
        <v>208</v>
      </c>
      <c r="E335">
        <v>89.9</v>
      </c>
      <c r="F335">
        <v>87.3</v>
      </c>
      <c r="G335" s="11" t="str" cm="1">
        <f t="array" ref="G335">TRIM(RemoveSpecial(D335))</f>
        <v>Bachelor of Engineering (Engineering Product Development)</v>
      </c>
      <c r="H335" s="11" t="e">
        <f>VLOOKUP(G335,'course-cluster'!$A$2:$C$137,3, FALSE)</f>
        <v>#N/A</v>
      </c>
      <c r="I335" s="12" t="s">
        <v>372</v>
      </c>
    </row>
    <row r="336" spans="1:9" x14ac:dyDescent="0.55000000000000004">
      <c r="A336">
        <v>2016</v>
      </c>
      <c r="B336" t="s">
        <v>207</v>
      </c>
      <c r="C336" t="s">
        <v>42</v>
      </c>
      <c r="D336" t="s">
        <v>208</v>
      </c>
      <c r="E336">
        <v>87</v>
      </c>
      <c r="F336">
        <v>79.7</v>
      </c>
      <c r="G336" s="11" t="str" cm="1">
        <f t="array" ref="G336">TRIM(RemoveSpecial(D336))</f>
        <v>Bachelor of Engineering (Engineering Product Development)</v>
      </c>
      <c r="H336" s="11" t="e">
        <f>VLOOKUP(G336,'course-cluster'!$A$2:$C$137,3, FALSE)</f>
        <v>#N/A</v>
      </c>
      <c r="I336" s="12" t="s">
        <v>372</v>
      </c>
    </row>
    <row r="337" spans="1:9" x14ac:dyDescent="0.55000000000000004">
      <c r="A337">
        <v>2019</v>
      </c>
      <c r="B337" t="s">
        <v>207</v>
      </c>
      <c r="D337" t="s">
        <v>525</v>
      </c>
      <c r="E337">
        <v>84.2</v>
      </c>
      <c r="F337">
        <v>80.2</v>
      </c>
      <c r="G337" s="11" t="str" cm="1">
        <f t="array" ref="G337">TRIM(RemoveSpecial(D337))</f>
        <v>Bachelor of Engineering (Engineering Product Development)</v>
      </c>
      <c r="H337" s="11" t="e">
        <f>VLOOKUP(G337,'course-cluster'!$A$2:$C$137,3, FALSE)</f>
        <v>#N/A</v>
      </c>
      <c r="I337" s="12" t="s">
        <v>372</v>
      </c>
    </row>
    <row r="338" spans="1:9" x14ac:dyDescent="0.55000000000000004">
      <c r="A338">
        <v>2017</v>
      </c>
      <c r="B338" t="s">
        <v>12</v>
      </c>
      <c r="C338" t="s">
        <v>18</v>
      </c>
      <c r="D338" t="s">
        <v>243</v>
      </c>
      <c r="E338">
        <v>80</v>
      </c>
      <c r="F338">
        <v>75</v>
      </c>
      <c r="G338" s="11" t="str" cm="1">
        <f t="array" ref="G338">TRIM(RemoveSpecial(D338))</f>
        <v>Bachelor of Engineering (Hons) (Aerospace Engineering)</v>
      </c>
      <c r="H338" s="11" t="e">
        <f>VLOOKUP(G338,'course-cluster'!$A$2:$C$137,3, FALSE)</f>
        <v>#N/A</v>
      </c>
      <c r="I338" s="12" t="s">
        <v>372</v>
      </c>
    </row>
    <row r="339" spans="1:9" x14ac:dyDescent="0.55000000000000004">
      <c r="A339">
        <v>2017</v>
      </c>
      <c r="B339" t="s">
        <v>12</v>
      </c>
      <c r="C339" t="s">
        <v>18</v>
      </c>
      <c r="D339" t="s">
        <v>253</v>
      </c>
      <c r="E339">
        <v>89.3</v>
      </c>
      <c r="F339">
        <v>85</v>
      </c>
      <c r="G339" s="11" t="str" cm="1">
        <f t="array" ref="G339">TRIM(RemoveSpecial(D339))</f>
        <v>Bachelor of Engineering (Hons) (Electrical Electronic Engineering)</v>
      </c>
      <c r="H339" s="11" t="e">
        <f>VLOOKUP(G339,'course-cluster'!$A$2:$C$137,3, FALSE)</f>
        <v>#N/A</v>
      </c>
      <c r="I339" s="12" t="s">
        <v>372</v>
      </c>
    </row>
    <row r="340" spans="1:9" x14ac:dyDescent="0.55000000000000004">
      <c r="A340">
        <v>2017</v>
      </c>
      <c r="B340" t="s">
        <v>12</v>
      </c>
      <c r="C340" t="s">
        <v>18</v>
      </c>
      <c r="D340" t="s">
        <v>255</v>
      </c>
      <c r="E340">
        <v>86.9</v>
      </c>
      <c r="F340">
        <v>78.7</v>
      </c>
      <c r="G340" s="11" t="str" cm="1">
        <f t="array" ref="G340">TRIM(RemoveSpecial(D340))</f>
        <v>Bachelor of Engineering (Hons) (Information Engineering Media)</v>
      </c>
      <c r="H340" s="11" t="e">
        <f>VLOOKUP(G340,'course-cluster'!$A$2:$C$137,3, FALSE)</f>
        <v>#N/A</v>
      </c>
      <c r="I340" s="12" t="s">
        <v>372</v>
      </c>
    </row>
    <row r="341" spans="1:9" x14ac:dyDescent="0.55000000000000004">
      <c r="A341">
        <v>2019</v>
      </c>
      <c r="B341" t="s">
        <v>146</v>
      </c>
      <c r="C341" t="s">
        <v>546</v>
      </c>
      <c r="D341" t="s">
        <v>549</v>
      </c>
      <c r="E341">
        <v>95.199999999999989</v>
      </c>
      <c r="F341">
        <v>90.5</v>
      </c>
      <c r="G341" s="11" t="str" cm="1">
        <f t="array" ref="G341">TRIM(RemoveSpecial(D341))</f>
        <v>Bachelor of Engineering in Systems Engineering (ElectroMechanical Systems)</v>
      </c>
      <c r="H341" s="11" t="e">
        <f>VLOOKUP(G341,'course-cluster'!$A$2:$C$137,3, FALSE)</f>
        <v>#N/A</v>
      </c>
      <c r="I341" s="12" t="s">
        <v>372</v>
      </c>
    </row>
    <row r="342" spans="1:9" x14ac:dyDescent="0.55000000000000004">
      <c r="A342">
        <v>2019</v>
      </c>
      <c r="B342" t="s">
        <v>146</v>
      </c>
      <c r="C342" t="s">
        <v>335</v>
      </c>
      <c r="D342" t="s">
        <v>557</v>
      </c>
      <c r="E342">
        <v>100</v>
      </c>
      <c r="F342">
        <v>95.8</v>
      </c>
      <c r="G342" s="11" t="str" cm="1">
        <f t="array" ref="G342">TRIM(RemoveSpecial(D342))</f>
        <v>Bachelor of Science with Honours in Nursing</v>
      </c>
      <c r="H342" s="11" t="str">
        <f>VLOOKUP(G342,'course-cluster'!$A$2:$C$137,3, FALSE)</f>
        <v>Health Sciences</v>
      </c>
      <c r="I342" s="12" t="s">
        <v>384</v>
      </c>
    </row>
    <row r="343" spans="1:9" x14ac:dyDescent="0.55000000000000004">
      <c r="A343">
        <v>2018</v>
      </c>
      <c r="B343" t="s">
        <v>146</v>
      </c>
      <c r="C343" t="s">
        <v>330</v>
      </c>
      <c r="D343" t="s">
        <v>331</v>
      </c>
      <c r="E343">
        <v>100</v>
      </c>
      <c r="F343">
        <v>100</v>
      </c>
      <c r="G343" s="11" t="str" cm="1">
        <f t="array" ref="G343">TRIM(RemoveSpecial(D343))</f>
        <v>Bachelor of Engineering with Honours in Information Communications Technology (Information Security)</v>
      </c>
      <c r="H343" s="11" t="e">
        <f>VLOOKUP(G343,'course-cluster'!$A$2:$C$137,3, FALSE)</f>
        <v>#N/A</v>
      </c>
      <c r="I343" s="12" t="s">
        <v>409</v>
      </c>
    </row>
    <row r="344" spans="1:9" x14ac:dyDescent="0.55000000000000004">
      <c r="A344">
        <v>2019</v>
      </c>
      <c r="B344" t="s">
        <v>146</v>
      </c>
      <c r="C344" t="s">
        <v>330</v>
      </c>
      <c r="D344" t="s">
        <v>539</v>
      </c>
      <c r="E344">
        <v>97.5</v>
      </c>
      <c r="F344">
        <v>95</v>
      </c>
      <c r="G344" s="11" t="str" cm="1">
        <f t="array" ref="G344">TRIM(RemoveSpecial(D344))</f>
        <v>Bachelor of Engineering with Honours in Information Communications Technology (Information Security)</v>
      </c>
      <c r="H344" s="11" t="e">
        <f>VLOOKUP(G344,'course-cluster'!$A$2:$C$137,3, FALSE)</f>
        <v>#N/A</v>
      </c>
      <c r="I344" s="12" t="s">
        <v>409</v>
      </c>
    </row>
    <row r="345" spans="1:9" x14ac:dyDescent="0.55000000000000004">
      <c r="A345">
        <v>2019</v>
      </c>
      <c r="B345" t="s">
        <v>146</v>
      </c>
      <c r="C345" t="s">
        <v>330</v>
      </c>
      <c r="D345" t="s">
        <v>540</v>
      </c>
      <c r="E345">
        <v>100</v>
      </c>
      <c r="F345">
        <v>97.399999999999991</v>
      </c>
      <c r="G345" s="11" t="str" cm="1">
        <f t="array" ref="G345">TRIM(RemoveSpecial(D345))</f>
        <v>Bachelor of Engineering with Honours in Information Communications Technology (Software Engineering)</v>
      </c>
      <c r="H345" s="11" t="e">
        <f>VLOOKUP(G345,'course-cluster'!$A$2:$C$137,3, FALSE)</f>
        <v>#N/A</v>
      </c>
      <c r="I345" s="12" t="s">
        <v>409</v>
      </c>
    </row>
    <row r="346" spans="1:9" x14ac:dyDescent="0.55000000000000004">
      <c r="A346">
        <v>2017</v>
      </c>
      <c r="B346" t="s">
        <v>53</v>
      </c>
      <c r="C346" t="s">
        <v>96</v>
      </c>
      <c r="D346" t="s">
        <v>284</v>
      </c>
      <c r="E346">
        <v>99.1</v>
      </c>
      <c r="F346">
        <v>94.5</v>
      </c>
      <c r="G346" s="11" t="str" cm="1">
        <f t="array" ref="G346">TRIM(RemoveSpecial(D346))</f>
        <v>Bachelor of Science (Pharmacy)</v>
      </c>
      <c r="H346" s="11" t="str">
        <f>VLOOKUP(G346,'course-cluster'!$A$2:$C$137,3, FALSE)</f>
        <v>Health Sciences</v>
      </c>
      <c r="I346" s="12" t="s">
        <v>384</v>
      </c>
    </row>
    <row r="347" spans="1:9" x14ac:dyDescent="0.55000000000000004">
      <c r="A347">
        <v>2018</v>
      </c>
      <c r="B347" t="s">
        <v>146</v>
      </c>
      <c r="C347" t="s">
        <v>330</v>
      </c>
      <c r="D347" t="s">
        <v>332</v>
      </c>
      <c r="E347">
        <v>95.7</v>
      </c>
      <c r="F347">
        <v>95.7</v>
      </c>
      <c r="G347" s="11" t="str" cm="1">
        <f t="array" ref="G347">TRIM(RemoveSpecial(D347))</f>
        <v>Bachelor of Engineering with Honours in Information Communications Technology (Software Engineering)</v>
      </c>
      <c r="H347" s="11" t="e">
        <f>VLOOKUP(G347,'course-cluster'!$A$2:$C$137,3, FALSE)</f>
        <v>#N/A</v>
      </c>
      <c r="I347" s="12" t="s">
        <v>372</v>
      </c>
    </row>
    <row r="348" spans="1:9" x14ac:dyDescent="0.55000000000000004">
      <c r="A348">
        <v>2014</v>
      </c>
      <c r="B348" t="s">
        <v>146</v>
      </c>
      <c r="C348" t="s">
        <v>155</v>
      </c>
      <c r="D348" t="s">
        <v>158</v>
      </c>
      <c r="E348">
        <v>97.1</v>
      </c>
      <c r="F348">
        <v>85.7</v>
      </c>
      <c r="G348" s="11" t="str" cm="1">
        <f t="array" ref="G348">TRIM(RemoveSpecial(D348))</f>
        <v>Bachelor of Engineering with Honours in Mechanical Design Manufacturing Engineering</v>
      </c>
      <c r="H348" s="11" t="e">
        <f>VLOOKUP(G348,'course-cluster'!$A$2:$C$137,3, FALSE)</f>
        <v>#N/A</v>
      </c>
      <c r="I348" s="12" t="s">
        <v>372</v>
      </c>
    </row>
    <row r="349" spans="1:9" x14ac:dyDescent="0.55000000000000004">
      <c r="A349">
        <v>2019</v>
      </c>
      <c r="B349" t="s">
        <v>53</v>
      </c>
      <c r="C349" t="s">
        <v>232</v>
      </c>
      <c r="D349" t="s">
        <v>468</v>
      </c>
      <c r="E349">
        <v>98.8</v>
      </c>
      <c r="F349">
        <v>97.5</v>
      </c>
      <c r="G349" s="11" t="str" cm="1">
        <f t="array" ref="G349">TRIM(RemoveSpecial(D349))</f>
        <v>Bachelor of Science (Nursing) (Hons)</v>
      </c>
      <c r="H349" s="11" t="str">
        <f>VLOOKUP(G349,'course-cluster'!$A$2:$C$137,3, FALSE)</f>
        <v>Health Sciences</v>
      </c>
      <c r="I349" s="12" t="s">
        <v>384</v>
      </c>
    </row>
    <row r="350" spans="1:9" x14ac:dyDescent="0.55000000000000004">
      <c r="A350">
        <v>2015</v>
      </c>
      <c r="B350" t="s">
        <v>146</v>
      </c>
      <c r="C350" t="s">
        <v>155</v>
      </c>
      <c r="D350" t="s">
        <v>158</v>
      </c>
      <c r="E350">
        <v>90.5</v>
      </c>
      <c r="F350">
        <v>83.3</v>
      </c>
      <c r="G350" s="11" t="str" cm="1">
        <f t="array" ref="G350">TRIM(RemoveSpecial(D350))</f>
        <v>Bachelor of Engineering with Honours in Mechanical Design Manufacturing Engineering</v>
      </c>
      <c r="H350" s="11" t="e">
        <f>VLOOKUP(G350,'course-cluster'!$A$2:$C$137,3, FALSE)</f>
        <v>#N/A</v>
      </c>
      <c r="I350" s="12" t="s">
        <v>372</v>
      </c>
    </row>
    <row r="351" spans="1:9" x14ac:dyDescent="0.55000000000000004">
      <c r="A351">
        <v>2018</v>
      </c>
      <c r="B351" t="s">
        <v>53</v>
      </c>
      <c r="C351" t="s">
        <v>90</v>
      </c>
      <c r="D351" t="s">
        <v>93</v>
      </c>
      <c r="E351">
        <v>98</v>
      </c>
      <c r="F351">
        <v>98</v>
      </c>
      <c r="G351" s="11" t="str" cm="1">
        <f t="array" ref="G351">TRIM(RemoveSpecial(D351))</f>
        <v>Bachelor of Science (Nursing) (Hons)</v>
      </c>
      <c r="H351" s="11" t="str">
        <f>VLOOKUP(G351,'course-cluster'!$A$2:$C$137,3, FALSE)</f>
        <v>Health Sciences</v>
      </c>
      <c r="I351" s="12" t="s">
        <v>384</v>
      </c>
    </row>
    <row r="352" spans="1:9" x14ac:dyDescent="0.55000000000000004">
      <c r="A352">
        <v>2013</v>
      </c>
      <c r="B352" t="s">
        <v>53</v>
      </c>
      <c r="C352" t="s">
        <v>90</v>
      </c>
      <c r="D352" t="s">
        <v>92</v>
      </c>
      <c r="E352">
        <v>97.5</v>
      </c>
      <c r="F352">
        <v>97.5</v>
      </c>
      <c r="G352" s="11" t="str" cm="1">
        <f t="array" ref="G352">TRIM(RemoveSpecial(D352))</f>
        <v>Bachelor of Science (Nursing)</v>
      </c>
      <c r="H352" s="11" t="str">
        <f>VLOOKUP(G352,'course-cluster'!$A$2:$C$137,3, FALSE)</f>
        <v>Health Sciences</v>
      </c>
      <c r="I352" s="12" t="s">
        <v>384</v>
      </c>
    </row>
    <row r="353" spans="1:9" x14ac:dyDescent="0.55000000000000004">
      <c r="A353">
        <v>2017</v>
      </c>
      <c r="B353" t="s">
        <v>53</v>
      </c>
      <c r="C353" t="s">
        <v>232</v>
      </c>
      <c r="D353" t="s">
        <v>92</v>
      </c>
      <c r="E353">
        <v>97.4</v>
      </c>
      <c r="F353">
        <v>97.4</v>
      </c>
      <c r="G353" s="11" t="str" cm="1">
        <f t="array" ref="G353">TRIM(RemoveSpecial(D353))</f>
        <v>Bachelor of Science (Nursing)</v>
      </c>
      <c r="H353" s="11" t="str">
        <f>VLOOKUP(G353,'course-cluster'!$A$2:$C$137,3, FALSE)</f>
        <v>Health Sciences</v>
      </c>
      <c r="I353" s="12" t="s">
        <v>384</v>
      </c>
    </row>
    <row r="354" spans="1:9" x14ac:dyDescent="0.55000000000000004">
      <c r="A354">
        <v>2015</v>
      </c>
      <c r="B354" t="s">
        <v>53</v>
      </c>
      <c r="C354" t="s">
        <v>90</v>
      </c>
      <c r="D354" t="s">
        <v>92</v>
      </c>
      <c r="E354">
        <v>97.3</v>
      </c>
      <c r="F354">
        <v>97.3</v>
      </c>
      <c r="G354" s="11" t="str" cm="1">
        <f t="array" ref="G354">TRIM(RemoveSpecial(D354))</f>
        <v>Bachelor of Science (Nursing)</v>
      </c>
      <c r="H354" s="11" t="str">
        <f>VLOOKUP(G354,'course-cluster'!$A$2:$C$137,3, FALSE)</f>
        <v>Health Sciences</v>
      </c>
      <c r="I354" s="12" t="s">
        <v>384</v>
      </c>
    </row>
    <row r="355" spans="1:9" x14ac:dyDescent="0.55000000000000004">
      <c r="A355">
        <v>2017</v>
      </c>
      <c r="B355" t="s">
        <v>146</v>
      </c>
      <c r="C355" t="s">
        <v>155</v>
      </c>
      <c r="D355" t="s">
        <v>158</v>
      </c>
      <c r="E355">
        <v>90.5</v>
      </c>
      <c r="F355">
        <v>85.7</v>
      </c>
      <c r="G355" s="11" t="str" cm="1">
        <f t="array" ref="G355">TRIM(RemoveSpecial(D355))</f>
        <v>Bachelor of Engineering with Honours in Mechanical Design Manufacturing Engineering</v>
      </c>
      <c r="H355" s="11" t="e">
        <f>VLOOKUP(G355,'course-cluster'!$A$2:$C$137,3, FALSE)</f>
        <v>#N/A</v>
      </c>
      <c r="I355" s="12" t="s">
        <v>372</v>
      </c>
    </row>
    <row r="356" spans="1:9" x14ac:dyDescent="0.55000000000000004">
      <c r="A356">
        <v>2016</v>
      </c>
      <c r="B356" t="s">
        <v>146</v>
      </c>
      <c r="C356" t="s">
        <v>155</v>
      </c>
      <c r="D356" t="s">
        <v>158</v>
      </c>
      <c r="E356">
        <v>87</v>
      </c>
      <c r="F356">
        <v>77.8</v>
      </c>
      <c r="G356" s="11" t="str" cm="1">
        <f t="array" ref="G356">TRIM(RemoveSpecial(D356))</f>
        <v>Bachelor of Engineering with Honours in Mechanical Design Manufacturing Engineering</v>
      </c>
      <c r="H356" s="11" t="e">
        <f>VLOOKUP(G356,'course-cluster'!$A$2:$C$137,3, FALSE)</f>
        <v>#N/A</v>
      </c>
      <c r="I356" s="12" t="s">
        <v>372</v>
      </c>
    </row>
    <row r="357" spans="1:9" x14ac:dyDescent="0.55000000000000004">
      <c r="A357">
        <v>2018</v>
      </c>
      <c r="B357" t="s">
        <v>146</v>
      </c>
      <c r="C357" t="s">
        <v>335</v>
      </c>
      <c r="D357" t="s">
        <v>336</v>
      </c>
      <c r="E357">
        <v>95.3</v>
      </c>
      <c r="F357">
        <v>90.7</v>
      </c>
      <c r="G357" s="11" t="str" cm="1">
        <f t="array" ref="G357">TRIM(RemoveSpecial(D357))</f>
        <v>Bachelor of Science with Honours in Nursing</v>
      </c>
      <c r="H357" s="11" t="str">
        <f>VLOOKUP(G357,'course-cluster'!$A$2:$C$137,3, FALSE)</f>
        <v>Health Sciences</v>
      </c>
      <c r="I357" s="12" t="s">
        <v>384</v>
      </c>
    </row>
    <row r="358" spans="1:9" x14ac:dyDescent="0.55000000000000004">
      <c r="A358">
        <v>2016</v>
      </c>
      <c r="B358" t="s">
        <v>53</v>
      </c>
      <c r="C358" t="s">
        <v>232</v>
      </c>
      <c r="D358" t="s">
        <v>93</v>
      </c>
      <c r="E358">
        <v>95.1</v>
      </c>
      <c r="F358">
        <v>95.1</v>
      </c>
      <c r="G358" s="11" t="str" cm="1">
        <f t="array" ref="G358">TRIM(RemoveSpecial(D358))</f>
        <v>Bachelor of Science (Nursing) (Hons)</v>
      </c>
      <c r="H358" s="11" t="str">
        <f>VLOOKUP(G358,'course-cluster'!$A$2:$C$137,3, FALSE)</f>
        <v>Health Sciences</v>
      </c>
      <c r="I358" s="12" t="s">
        <v>384</v>
      </c>
    </row>
    <row r="359" spans="1:9" x14ac:dyDescent="0.55000000000000004">
      <c r="A359">
        <v>2018</v>
      </c>
      <c r="B359" t="s">
        <v>53</v>
      </c>
      <c r="C359" t="s">
        <v>90</v>
      </c>
      <c r="D359" t="s">
        <v>92</v>
      </c>
      <c r="E359">
        <v>94.6</v>
      </c>
      <c r="F359">
        <v>94.6</v>
      </c>
      <c r="G359" s="11" t="str" cm="1">
        <f t="array" ref="G359">TRIM(RemoveSpecial(D359))</f>
        <v>Bachelor of Science (Nursing)</v>
      </c>
      <c r="H359" s="11" t="str">
        <f>VLOOKUP(G359,'course-cluster'!$A$2:$C$137,3, FALSE)</f>
        <v>Health Sciences</v>
      </c>
      <c r="I359" s="12" t="s">
        <v>384</v>
      </c>
    </row>
    <row r="360" spans="1:9" x14ac:dyDescent="0.55000000000000004">
      <c r="A360">
        <v>2016</v>
      </c>
      <c r="B360" t="s">
        <v>53</v>
      </c>
      <c r="C360" t="s">
        <v>232</v>
      </c>
      <c r="D360" t="s">
        <v>92</v>
      </c>
      <c r="E360">
        <v>93.2</v>
      </c>
      <c r="F360">
        <v>90.9</v>
      </c>
      <c r="G360" s="11" t="str" cm="1">
        <f t="array" ref="G360">TRIM(RemoveSpecial(D360))</f>
        <v>Bachelor of Science (Nursing)</v>
      </c>
      <c r="H360" s="11" t="str">
        <f>VLOOKUP(G360,'course-cluster'!$A$2:$C$137,3, FALSE)</f>
        <v>Health Sciences</v>
      </c>
      <c r="I360" s="12" t="s">
        <v>384</v>
      </c>
    </row>
    <row r="361" spans="1:9" x14ac:dyDescent="0.55000000000000004">
      <c r="A361">
        <v>2017</v>
      </c>
      <c r="B361" t="s">
        <v>53</v>
      </c>
      <c r="C361" t="s">
        <v>232</v>
      </c>
      <c r="D361" t="s">
        <v>93</v>
      </c>
      <c r="E361">
        <v>91.8</v>
      </c>
      <c r="F361">
        <v>89.8</v>
      </c>
      <c r="G361" s="11" t="str" cm="1">
        <f t="array" ref="G361">TRIM(RemoveSpecial(D361))</f>
        <v>Bachelor of Science (Nursing) (Hons)</v>
      </c>
      <c r="H361" s="11" t="str">
        <f>VLOOKUP(G361,'course-cluster'!$A$2:$C$137,3, FALSE)</f>
        <v>Health Sciences</v>
      </c>
      <c r="I361" s="12" t="s">
        <v>384</v>
      </c>
    </row>
    <row r="362" spans="1:9" x14ac:dyDescent="0.55000000000000004">
      <c r="A362">
        <v>2017</v>
      </c>
      <c r="B362" t="s">
        <v>53</v>
      </c>
      <c r="C362" t="s">
        <v>292</v>
      </c>
      <c r="D362" t="s">
        <v>195</v>
      </c>
      <c r="E362">
        <v>88.7</v>
      </c>
      <c r="F362">
        <v>62.3</v>
      </c>
      <c r="G362" s="11" t="str" cm="1">
        <f t="array" ref="G362">TRIM(RemoveSpecial(D362))</f>
        <v>Bachelor of Environmental Studies</v>
      </c>
      <c r="H362" s="11" t="e">
        <f>VLOOKUP(G362,'course-cluster'!$A$2:$C$137,3, FALSE)</f>
        <v>#N/A</v>
      </c>
      <c r="I362" s="12" t="s">
        <v>390</v>
      </c>
    </row>
    <row r="363" spans="1:9" x14ac:dyDescent="0.55000000000000004">
      <c r="A363">
        <v>2018</v>
      </c>
      <c r="B363" t="s">
        <v>53</v>
      </c>
      <c r="C363" t="s">
        <v>96</v>
      </c>
      <c r="D363" t="s">
        <v>284</v>
      </c>
      <c r="E363">
        <v>96.6</v>
      </c>
      <c r="F363">
        <v>93.2</v>
      </c>
      <c r="G363" s="11" t="str" cm="1">
        <f t="array" ref="G363">TRIM(RemoveSpecial(D363))</f>
        <v>Bachelor of Science (Pharmacy)</v>
      </c>
      <c r="H363" s="11" t="str">
        <f>VLOOKUP(G363,'course-cluster'!$A$2:$C$137,3, FALSE)</f>
        <v>Health Sciences</v>
      </c>
      <c r="I363" s="12" t="s">
        <v>384</v>
      </c>
    </row>
    <row r="364" spans="1:9" x14ac:dyDescent="0.55000000000000004">
      <c r="A364">
        <v>2019</v>
      </c>
      <c r="B364" t="s">
        <v>53</v>
      </c>
      <c r="C364" t="s">
        <v>232</v>
      </c>
      <c r="D364" t="s">
        <v>467</v>
      </c>
      <c r="E364">
        <v>93.5</v>
      </c>
      <c r="F364">
        <v>89.1</v>
      </c>
      <c r="G364" s="11" t="str" cm="1">
        <f t="array" ref="G364">TRIM(RemoveSpecial(D364))</f>
        <v>Bachelor of Science (Nursing)</v>
      </c>
      <c r="H364" s="11" t="str">
        <f>VLOOKUP(G364,'course-cluster'!$A$2:$C$137,3, FALSE)</f>
        <v>Health Sciences</v>
      </c>
      <c r="I364" s="12" t="s">
        <v>384</v>
      </c>
    </row>
    <row r="365" spans="1:9" x14ac:dyDescent="0.55000000000000004">
      <c r="A365">
        <v>2018</v>
      </c>
      <c r="B365" t="s">
        <v>53</v>
      </c>
      <c r="C365" t="s">
        <v>325</v>
      </c>
      <c r="D365" t="s">
        <v>195</v>
      </c>
      <c r="E365">
        <v>84.2</v>
      </c>
      <c r="F365">
        <v>55.3</v>
      </c>
      <c r="G365" s="11" t="str" cm="1">
        <f t="array" ref="G365">TRIM(RemoveSpecial(D365))</f>
        <v>Bachelor of Environmental Studies</v>
      </c>
      <c r="H365" s="11" t="e">
        <f>VLOOKUP(G365,'course-cluster'!$A$2:$C$137,3, FALSE)</f>
        <v>#N/A</v>
      </c>
      <c r="I365" s="12" t="s">
        <v>390</v>
      </c>
    </row>
    <row r="366" spans="1:9" x14ac:dyDescent="0.55000000000000004">
      <c r="A366">
        <v>2016</v>
      </c>
      <c r="B366" t="s">
        <v>53</v>
      </c>
      <c r="C366" t="s">
        <v>234</v>
      </c>
      <c r="D366" t="s">
        <v>195</v>
      </c>
      <c r="E366">
        <v>83.8</v>
      </c>
      <c r="F366">
        <v>67.599999999999994</v>
      </c>
      <c r="G366" s="11" t="str" cm="1">
        <f t="array" ref="G366">TRIM(RemoveSpecial(D366))</f>
        <v>Bachelor of Environmental Studies</v>
      </c>
      <c r="H366" s="11" t="e">
        <f>VLOOKUP(G366,'course-cluster'!$A$2:$C$137,3, FALSE)</f>
        <v>#N/A</v>
      </c>
      <c r="I366" s="12" t="s">
        <v>390</v>
      </c>
    </row>
    <row r="367" spans="1:9" x14ac:dyDescent="0.55000000000000004">
      <c r="A367">
        <v>2015</v>
      </c>
      <c r="B367" t="s">
        <v>53</v>
      </c>
      <c r="C367" t="s">
        <v>194</v>
      </c>
      <c r="D367" t="s">
        <v>195</v>
      </c>
      <c r="E367">
        <v>71.900000000000006</v>
      </c>
      <c r="F367">
        <v>59.4</v>
      </c>
      <c r="G367" s="11" t="str" cm="1">
        <f t="array" ref="G367">TRIM(RemoveSpecial(D367))</f>
        <v>Bachelor of Environmental Studies</v>
      </c>
      <c r="H367" s="11" t="e">
        <f>VLOOKUP(G367,'course-cluster'!$A$2:$C$137,3, FALSE)</f>
        <v>#N/A</v>
      </c>
      <c r="I367" s="12" t="s">
        <v>390</v>
      </c>
    </row>
    <row r="368" spans="1:9" x14ac:dyDescent="0.55000000000000004">
      <c r="A368">
        <v>2019</v>
      </c>
      <c r="B368" t="s">
        <v>53</v>
      </c>
      <c r="C368" t="s">
        <v>473</v>
      </c>
      <c r="D368" t="s">
        <v>475</v>
      </c>
      <c r="E368">
        <v>88.4</v>
      </c>
      <c r="F368">
        <v>67.400000000000006</v>
      </c>
      <c r="G368" s="11" t="str" cm="1">
        <f t="array" ref="G368">TRIM(RemoveSpecial(D368))</f>
        <v>Bachelor of Environmental Studies7</v>
      </c>
      <c r="H368" s="11" t="e">
        <f>VLOOKUP(G368,'course-cluster'!$A$2:$C$137,3, FALSE)</f>
        <v>#N/A</v>
      </c>
      <c r="I368" s="12" t="s">
        <v>390</v>
      </c>
    </row>
    <row r="369" spans="1:9" x14ac:dyDescent="0.55000000000000004">
      <c r="A369">
        <v>2014</v>
      </c>
      <c r="B369" t="s">
        <v>146</v>
      </c>
      <c r="C369" t="s">
        <v>147</v>
      </c>
      <c r="D369" t="s">
        <v>149</v>
      </c>
      <c r="E369">
        <v>90.6</v>
      </c>
      <c r="F369">
        <v>84.4</v>
      </c>
      <c r="G369" s="11" t="str" cm="1">
        <f t="array" ref="G369">TRIM(RemoveSpecial(D369))</f>
        <v>Bachelor of Fine Arts in Digital Arts Animation</v>
      </c>
      <c r="H369" s="11" t="e">
        <f>VLOOKUP(G369,'course-cluster'!$A$2:$C$137,3, FALSE)</f>
        <v>#N/A</v>
      </c>
      <c r="I369" s="12" t="s">
        <v>354</v>
      </c>
    </row>
    <row r="370" spans="1:9" x14ac:dyDescent="0.55000000000000004">
      <c r="A370">
        <v>2015</v>
      </c>
      <c r="B370" t="s">
        <v>146</v>
      </c>
      <c r="C370" t="s">
        <v>147</v>
      </c>
      <c r="D370" t="s">
        <v>149</v>
      </c>
      <c r="E370">
        <v>88.5</v>
      </c>
      <c r="F370">
        <v>65.400000000000006</v>
      </c>
      <c r="G370" s="11" t="str" cm="1">
        <f t="array" ref="G370">TRIM(RemoveSpecial(D370))</f>
        <v>Bachelor of Fine Arts in Digital Arts Animation</v>
      </c>
      <c r="H370" s="11" t="e">
        <f>VLOOKUP(G370,'course-cluster'!$A$2:$C$137,3, FALSE)</f>
        <v>#N/A</v>
      </c>
      <c r="I370" s="12" t="s">
        <v>354</v>
      </c>
    </row>
    <row r="371" spans="1:9" x14ac:dyDescent="0.55000000000000004">
      <c r="A371">
        <v>2017</v>
      </c>
      <c r="B371" t="s">
        <v>146</v>
      </c>
      <c r="C371" t="s">
        <v>147</v>
      </c>
      <c r="D371" t="s">
        <v>294</v>
      </c>
      <c r="E371">
        <v>88.5</v>
      </c>
      <c r="F371">
        <v>69.2</v>
      </c>
      <c r="G371" s="11" t="str" cm="1">
        <f t="array" ref="G371">TRIM(RemoveSpecial(D371))</f>
        <v>Bachelor of Fine Arts in Digital Arts Animation</v>
      </c>
      <c r="H371" s="11" t="e">
        <f>VLOOKUP(G371,'course-cluster'!$A$2:$C$137,3, FALSE)</f>
        <v>#N/A</v>
      </c>
      <c r="I371" s="12" t="s">
        <v>354</v>
      </c>
    </row>
    <row r="372" spans="1:9" x14ac:dyDescent="0.55000000000000004">
      <c r="A372">
        <v>2016</v>
      </c>
      <c r="B372" t="s">
        <v>146</v>
      </c>
      <c r="C372" t="s">
        <v>147</v>
      </c>
      <c r="D372" t="s">
        <v>149</v>
      </c>
      <c r="E372">
        <v>73.3</v>
      </c>
      <c r="F372">
        <v>53.3</v>
      </c>
      <c r="G372" s="11" t="str" cm="1">
        <f t="array" ref="G372">TRIM(RemoveSpecial(D372))</f>
        <v>Bachelor of Fine Arts in Digital Arts Animation</v>
      </c>
      <c r="H372" s="11" t="e">
        <f>VLOOKUP(G372,'course-cluster'!$A$2:$C$137,3, FALSE)</f>
        <v>#N/A</v>
      </c>
      <c r="I372" s="12" t="s">
        <v>354</v>
      </c>
    </row>
    <row r="373" spans="1:9" x14ac:dyDescent="0.55000000000000004">
      <c r="A373">
        <v>2018</v>
      </c>
      <c r="B373" t="s">
        <v>53</v>
      </c>
      <c r="C373" t="s">
        <v>88</v>
      </c>
      <c r="D373" t="s">
        <v>283</v>
      </c>
      <c r="E373">
        <v>97.3</v>
      </c>
      <c r="F373">
        <v>92.6</v>
      </c>
      <c r="G373" s="11" t="str" cm="1">
        <f t="array" ref="G373">TRIM(RemoveSpecial(D373))</f>
        <v>Bachelor of Laws</v>
      </c>
      <c r="H373" s="11" t="e">
        <f>VLOOKUP(G373,'course-cluster'!$A$2:$C$137,3, FALSE)</f>
        <v>#N/A</v>
      </c>
      <c r="I373" s="12" t="s">
        <v>393</v>
      </c>
    </row>
    <row r="374" spans="1:9" x14ac:dyDescent="0.55000000000000004">
      <c r="A374">
        <v>2016</v>
      </c>
      <c r="B374" t="s">
        <v>146</v>
      </c>
      <c r="C374" t="s">
        <v>236</v>
      </c>
      <c r="D374" t="s">
        <v>237</v>
      </c>
      <c r="E374">
        <v>92.6</v>
      </c>
      <c r="F374">
        <v>81.5</v>
      </c>
      <c r="G374" s="11" t="str" cm="1">
        <f t="array" ref="G374">TRIM(RemoveSpecial(D374))</f>
        <v>Bachelor of Arts with Honours in Criminology and Security</v>
      </c>
      <c r="H374" s="11" t="str">
        <f>VLOOKUP(G374,'course-cluster'!$A$2:$C$137,3, FALSE)</f>
        <v>Humanities &amp; Social Sciences</v>
      </c>
      <c r="I374" s="12" t="s">
        <v>393</v>
      </c>
    </row>
    <row r="375" spans="1:9" x14ac:dyDescent="0.55000000000000004">
      <c r="A375">
        <v>2018</v>
      </c>
      <c r="B375" t="s">
        <v>146</v>
      </c>
      <c r="C375" t="s">
        <v>236</v>
      </c>
      <c r="D375" t="s">
        <v>237</v>
      </c>
      <c r="E375">
        <v>91.9</v>
      </c>
      <c r="F375">
        <v>74.2</v>
      </c>
      <c r="G375" s="11" t="str" cm="1">
        <f t="array" ref="G375">TRIM(RemoveSpecial(D375))</f>
        <v>Bachelor of Arts with Honours in Criminology and Security</v>
      </c>
      <c r="H375" s="11" t="str">
        <f>VLOOKUP(G375,'course-cluster'!$A$2:$C$137,3, FALSE)</f>
        <v>Humanities &amp; Social Sciences</v>
      </c>
      <c r="I375" s="12" t="s">
        <v>393</v>
      </c>
    </row>
    <row r="376" spans="1:9" x14ac:dyDescent="0.55000000000000004">
      <c r="A376">
        <v>2017</v>
      </c>
      <c r="B376" t="s">
        <v>53</v>
      </c>
      <c r="C376" t="s">
        <v>88</v>
      </c>
      <c r="D376" t="s">
        <v>283</v>
      </c>
      <c r="E376">
        <v>95.8</v>
      </c>
      <c r="F376">
        <v>92.3</v>
      </c>
      <c r="G376" s="11" t="str" cm="1">
        <f t="array" ref="G376">TRIM(RemoveSpecial(D376))</f>
        <v>Bachelor of Laws</v>
      </c>
      <c r="H376" s="11" t="e">
        <f>VLOOKUP(G376,'course-cluster'!$A$2:$C$137,3, FALSE)</f>
        <v>#N/A</v>
      </c>
      <c r="I376" s="12" t="s">
        <v>393</v>
      </c>
    </row>
    <row r="377" spans="1:9" x14ac:dyDescent="0.55000000000000004">
      <c r="A377">
        <v>2017</v>
      </c>
      <c r="B377" t="s">
        <v>146</v>
      </c>
      <c r="C377" t="s">
        <v>236</v>
      </c>
      <c r="D377" t="s">
        <v>237</v>
      </c>
      <c r="E377">
        <v>86.4</v>
      </c>
      <c r="F377">
        <v>69.5</v>
      </c>
      <c r="G377" s="11" t="str" cm="1">
        <f t="array" ref="G377">TRIM(RemoveSpecial(D377))</f>
        <v>Bachelor of Arts with Honours in Criminology and Security</v>
      </c>
      <c r="H377" s="11" t="str">
        <f>VLOOKUP(G377,'course-cluster'!$A$2:$C$137,3, FALSE)</f>
        <v>Humanities &amp; Social Sciences</v>
      </c>
      <c r="I377" s="12" t="s">
        <v>393</v>
      </c>
    </row>
    <row r="378" spans="1:9" x14ac:dyDescent="0.55000000000000004">
      <c r="A378">
        <v>2017</v>
      </c>
      <c r="B378" t="s">
        <v>12</v>
      </c>
      <c r="C378" t="s">
        <v>18</v>
      </c>
      <c r="D378" t="s">
        <v>267</v>
      </c>
      <c r="E378">
        <v>86</v>
      </c>
      <c r="F378">
        <v>68.400000000000006</v>
      </c>
      <c r="G378" s="11" t="str" cm="1">
        <f t="array" ref="G378">TRIM(RemoveSpecial(D378))</f>
        <v>Bachelor of Arts (Hons) in History</v>
      </c>
      <c r="H378" s="11" t="str">
        <f>VLOOKUP(G378,'course-cluster'!$A$2:$C$137,3, FALSE)</f>
        <v>Humanities &amp; Social Sciences</v>
      </c>
      <c r="I378" s="12" t="s">
        <v>393</v>
      </c>
    </row>
    <row r="379" spans="1:9" x14ac:dyDescent="0.55000000000000004">
      <c r="A379">
        <v>2016</v>
      </c>
      <c r="B379" t="s">
        <v>53</v>
      </c>
      <c r="C379" t="s">
        <v>88</v>
      </c>
      <c r="D379" t="s">
        <v>192</v>
      </c>
      <c r="E379">
        <v>97.7</v>
      </c>
      <c r="F379">
        <v>95.9</v>
      </c>
      <c r="G379" s="11" t="str" cm="1">
        <f t="array" ref="G379">TRIM(RemoveSpecial(D379))</f>
        <v>Bachelor of Laws (L.L.B) (Hons)</v>
      </c>
      <c r="H379" s="11" t="e">
        <f>VLOOKUP(G379,'course-cluster'!$A$2:$C$137,3, FALSE)</f>
        <v>#N/A</v>
      </c>
      <c r="I379" s="12" t="s">
        <v>393</v>
      </c>
    </row>
    <row r="380" spans="1:9" x14ac:dyDescent="0.55000000000000004">
      <c r="A380">
        <v>2017</v>
      </c>
      <c r="B380" t="s">
        <v>12</v>
      </c>
      <c r="C380" t="s">
        <v>18</v>
      </c>
      <c r="D380" t="s">
        <v>265</v>
      </c>
      <c r="E380">
        <v>84.7</v>
      </c>
      <c r="F380">
        <v>75.5</v>
      </c>
      <c r="G380" s="11" t="str" cm="1">
        <f t="array" ref="G380">TRIM(RemoveSpecial(D380))</f>
        <v>Bachelor of Arts (Hons) in Economics</v>
      </c>
      <c r="H380" s="11" t="str">
        <f>VLOOKUP(G380,'course-cluster'!$A$2:$C$137,3, FALSE)</f>
        <v>Humanities &amp; Social Sciences</v>
      </c>
      <c r="I380" s="12" t="s">
        <v>393</v>
      </c>
    </row>
    <row r="381" spans="1:9" x14ac:dyDescent="0.55000000000000004">
      <c r="A381">
        <v>2017</v>
      </c>
      <c r="B381" t="s">
        <v>12</v>
      </c>
      <c r="C381" t="s">
        <v>18</v>
      </c>
      <c r="D381" t="s">
        <v>263</v>
      </c>
      <c r="E381">
        <v>84.6</v>
      </c>
      <c r="F381">
        <v>67.7</v>
      </c>
      <c r="G381" s="11" t="str" cm="1">
        <f t="array" ref="G381">TRIM(RemoveSpecial(D381))</f>
        <v>Bachelor of Arts (Hons) in Chinese</v>
      </c>
      <c r="H381" s="11" t="str">
        <f>VLOOKUP(G381,'course-cluster'!$A$2:$C$137,3, FALSE)</f>
        <v>Humanities &amp; Social Sciences</v>
      </c>
      <c r="I381" s="12" t="s">
        <v>393</v>
      </c>
    </row>
    <row r="382" spans="1:9" x14ac:dyDescent="0.55000000000000004">
      <c r="A382">
        <v>2017</v>
      </c>
      <c r="B382" t="s">
        <v>12</v>
      </c>
      <c r="C382" t="s">
        <v>18</v>
      </c>
      <c r="D382" t="s">
        <v>268</v>
      </c>
      <c r="E382">
        <v>80</v>
      </c>
      <c r="F382">
        <v>60</v>
      </c>
      <c r="G382" s="11" t="str" cm="1">
        <f t="array" ref="G382">TRIM(RemoveSpecial(D382))</f>
        <v>Bachelor of Arts (Hons) in Linguistics And Multilingual Studies</v>
      </c>
      <c r="H382" s="11" t="str">
        <f>VLOOKUP(G382,'course-cluster'!$A$2:$C$137,3, FALSE)</f>
        <v>Humanities &amp; Social Sciences</v>
      </c>
      <c r="I382" s="12" t="s">
        <v>393</v>
      </c>
    </row>
    <row r="383" spans="1:9" x14ac:dyDescent="0.55000000000000004">
      <c r="A383">
        <v>2017</v>
      </c>
      <c r="B383" t="s">
        <v>12</v>
      </c>
      <c r="C383" t="s">
        <v>18</v>
      </c>
      <c r="D383" t="s">
        <v>270</v>
      </c>
      <c r="E383">
        <v>78.900000000000006</v>
      </c>
      <c r="F383">
        <v>59.2</v>
      </c>
      <c r="G383" s="11" t="str" cm="1">
        <f t="array" ref="G383">TRIM(RemoveSpecial(D383))</f>
        <v>Bachelor of Arts (Hons) in Psychology</v>
      </c>
      <c r="H383" s="11" t="str">
        <f>VLOOKUP(G383,'course-cluster'!$A$2:$C$137,3, FALSE)</f>
        <v>Humanities &amp; Social Sciences</v>
      </c>
      <c r="I383" s="12" t="s">
        <v>393</v>
      </c>
    </row>
    <row r="384" spans="1:9" x14ac:dyDescent="0.55000000000000004">
      <c r="A384">
        <v>2017</v>
      </c>
      <c r="B384" t="s">
        <v>12</v>
      </c>
      <c r="C384" t="s">
        <v>18</v>
      </c>
      <c r="D384" t="s">
        <v>266</v>
      </c>
      <c r="E384">
        <v>77.8</v>
      </c>
      <c r="F384">
        <v>50.8</v>
      </c>
      <c r="G384" s="11" t="str" cm="1">
        <f t="array" ref="G384">TRIM(RemoveSpecial(D384))</f>
        <v>Bachelor of Arts (Hons) in English</v>
      </c>
      <c r="H384" s="11" t="str">
        <f>VLOOKUP(G384,'course-cluster'!$A$2:$C$137,3, FALSE)</f>
        <v>Humanities &amp; Social Sciences</v>
      </c>
      <c r="I384" s="12" t="s">
        <v>393</v>
      </c>
    </row>
    <row r="385" spans="1:9" x14ac:dyDescent="0.55000000000000004">
      <c r="A385">
        <v>2017</v>
      </c>
      <c r="B385" t="s">
        <v>12</v>
      </c>
      <c r="C385" t="s">
        <v>18</v>
      </c>
      <c r="D385" t="s">
        <v>272</v>
      </c>
      <c r="E385">
        <v>77.599999999999994</v>
      </c>
      <c r="F385">
        <v>62.1</v>
      </c>
      <c r="G385" s="11" t="str" cm="1">
        <f t="array" ref="G385">TRIM(RemoveSpecial(D385))</f>
        <v>Bachelor of Arts (Hons) in Sociology</v>
      </c>
      <c r="H385" s="11" t="str">
        <f>VLOOKUP(G385,'course-cluster'!$A$2:$C$137,3, FALSE)</f>
        <v>Humanities &amp; Social Sciences</v>
      </c>
      <c r="I385" s="12" t="s">
        <v>393</v>
      </c>
    </row>
    <row r="386" spans="1:9" x14ac:dyDescent="0.55000000000000004">
      <c r="A386">
        <v>2017</v>
      </c>
      <c r="B386" t="s">
        <v>12</v>
      </c>
      <c r="C386" t="s">
        <v>18</v>
      </c>
      <c r="D386" t="s">
        <v>271</v>
      </c>
      <c r="E386">
        <v>74.099999999999994</v>
      </c>
      <c r="F386">
        <v>66.7</v>
      </c>
      <c r="G386" s="11" t="str" cm="1">
        <f t="array" ref="G386">TRIM(RemoveSpecial(D386))</f>
        <v>Bachelor of Arts (Hons) in Public Policy And Global Affairs</v>
      </c>
      <c r="H386" s="11" t="str">
        <f>VLOOKUP(G386,'course-cluster'!$A$2:$C$137,3, FALSE)</f>
        <v>Humanities &amp; Social Sciences</v>
      </c>
      <c r="I386" s="12" t="s">
        <v>393</v>
      </c>
    </row>
    <row r="387" spans="1:9" x14ac:dyDescent="0.55000000000000004">
      <c r="A387">
        <v>2019</v>
      </c>
      <c r="B387" t="s">
        <v>146</v>
      </c>
      <c r="C387" t="s">
        <v>236</v>
      </c>
      <c r="D387" t="s">
        <v>567</v>
      </c>
      <c r="E387">
        <v>80.2</v>
      </c>
      <c r="F387">
        <v>70.399999999999991</v>
      </c>
      <c r="G387" s="11" t="str" cm="1">
        <f t="array" ref="G387">TRIM(RemoveSpecial(D387))</f>
        <v>Bachelor of Arts with Honours in Criminology and Security</v>
      </c>
      <c r="H387" s="11" t="str">
        <f>VLOOKUP(G387,'course-cluster'!$A$2:$C$137,3, FALSE)</f>
        <v>Humanities &amp; Social Sciences</v>
      </c>
      <c r="I387" s="12" t="s">
        <v>393</v>
      </c>
    </row>
    <row r="388" spans="1:9" x14ac:dyDescent="0.55000000000000004">
      <c r="A388">
        <v>2017</v>
      </c>
      <c r="B388" t="s">
        <v>207</v>
      </c>
      <c r="C388" t="s">
        <v>42</v>
      </c>
      <c r="D388" t="s">
        <v>210</v>
      </c>
      <c r="E388">
        <v>100</v>
      </c>
      <c r="F388">
        <v>100</v>
      </c>
      <c r="G388" s="11" t="str" cm="1">
        <f t="array" ref="G388">TRIM(RemoveSpecial(D388))</f>
        <v>Bachelor of Engineering (Information Systems Technology and Design)</v>
      </c>
      <c r="H388" s="11" t="str">
        <f>VLOOKUP(G388,'course-cluster'!$A$2:$C$137,3, FALSE)</f>
        <v>Information &amp; Digital Technologies</v>
      </c>
      <c r="I388" s="12" t="s">
        <v>409</v>
      </c>
    </row>
    <row r="389" spans="1:9" x14ac:dyDescent="0.55000000000000004">
      <c r="A389">
        <v>2017</v>
      </c>
      <c r="B389" t="s">
        <v>12</v>
      </c>
      <c r="C389" t="s">
        <v>13</v>
      </c>
      <c r="D389" t="s">
        <v>242</v>
      </c>
      <c r="E389">
        <v>100</v>
      </c>
      <c r="F389">
        <v>95</v>
      </c>
      <c r="G389" s="11" t="str" cm="1">
        <f t="array" ref="G389">TRIM(RemoveSpecial(D389))</f>
        <v>Double Degree in Bachelor of Business (Hons) and Bachelor of Engineering (Hons) (Computer Science)</v>
      </c>
      <c r="H389" s="11" t="str">
        <f>VLOOKUP(G389,'course-cluster'!$A$2:$C$137,3, FALSE)</f>
        <v>Information &amp; Digital Technologies</v>
      </c>
      <c r="I389" s="12" t="s">
        <v>409</v>
      </c>
    </row>
    <row r="390" spans="1:9" x14ac:dyDescent="0.55000000000000004">
      <c r="A390">
        <v>2015</v>
      </c>
      <c r="B390" t="s">
        <v>53</v>
      </c>
      <c r="C390" t="s">
        <v>88</v>
      </c>
      <c r="D390" t="s">
        <v>192</v>
      </c>
      <c r="E390">
        <v>96.9</v>
      </c>
      <c r="F390">
        <v>96.9</v>
      </c>
      <c r="G390" s="11" t="str" cm="1">
        <f t="array" ref="G390">TRIM(RemoveSpecial(D390))</f>
        <v>Bachelor of Laws (L.L.B) (Hons)</v>
      </c>
      <c r="H390" s="11" t="e">
        <f>VLOOKUP(G390,'course-cluster'!$A$2:$C$137,3, FALSE)</f>
        <v>#N/A</v>
      </c>
      <c r="I390" s="12" t="s">
        <v>393</v>
      </c>
    </row>
    <row r="391" spans="1:9" x14ac:dyDescent="0.55000000000000004">
      <c r="A391">
        <v>2013</v>
      </c>
      <c r="B391" t="s">
        <v>53</v>
      </c>
      <c r="C391" t="s">
        <v>88</v>
      </c>
      <c r="D391" t="s">
        <v>89</v>
      </c>
      <c r="E391">
        <v>98.8</v>
      </c>
      <c r="F391">
        <v>98.2</v>
      </c>
      <c r="G391" s="11" t="str" cm="1">
        <f t="array" ref="G391">TRIM(RemoveSpecial(D391))</f>
        <v>Bachelor of Laws (LLB) (Hons)</v>
      </c>
      <c r="H391" s="11" t="e">
        <f>VLOOKUP(G391,'course-cluster'!$A$2:$C$137,3, FALSE)</f>
        <v>#N/A</v>
      </c>
      <c r="I391" s="12" t="s">
        <v>393</v>
      </c>
    </row>
    <row r="392" spans="1:9" x14ac:dyDescent="0.55000000000000004">
      <c r="A392">
        <v>2014</v>
      </c>
      <c r="B392" t="s">
        <v>53</v>
      </c>
      <c r="C392" t="s">
        <v>88</v>
      </c>
      <c r="D392" t="s">
        <v>89</v>
      </c>
      <c r="E392">
        <v>98.2</v>
      </c>
      <c r="F392">
        <v>97.6</v>
      </c>
      <c r="G392" s="11" t="str" cm="1">
        <f t="array" ref="G392">TRIM(RemoveSpecial(D392))</f>
        <v>Bachelor of Laws (LLB) (Hons)</v>
      </c>
      <c r="H392" s="11" t="e">
        <f>VLOOKUP(G392,'course-cluster'!$A$2:$C$137,3, FALSE)</f>
        <v>#N/A</v>
      </c>
      <c r="I392" s="12" t="s">
        <v>393</v>
      </c>
    </row>
    <row r="393" spans="1:9" x14ac:dyDescent="0.55000000000000004">
      <c r="A393">
        <v>2019</v>
      </c>
      <c r="B393" t="s">
        <v>53</v>
      </c>
      <c r="C393" t="s">
        <v>88</v>
      </c>
      <c r="D393" t="s">
        <v>453</v>
      </c>
      <c r="E393">
        <v>95.7</v>
      </c>
      <c r="F393">
        <v>93</v>
      </c>
      <c r="G393" s="11" t="str" cm="1">
        <f t="array" ref="G393">TRIM(RemoveSpecial(D393))</f>
        <v>Bachelor of Laws6</v>
      </c>
      <c r="H393" s="11" t="e">
        <f>VLOOKUP(G393,'course-cluster'!$A$2:$C$137,3, FALSE)</f>
        <v>#N/A</v>
      </c>
      <c r="I393" s="12" t="s">
        <v>393</v>
      </c>
    </row>
    <row r="394" spans="1:9" x14ac:dyDescent="0.55000000000000004">
      <c r="A394">
        <v>2014</v>
      </c>
      <c r="B394" t="s">
        <v>53</v>
      </c>
      <c r="C394" t="s">
        <v>90</v>
      </c>
      <c r="D394" t="s">
        <v>127</v>
      </c>
      <c r="E394">
        <v>100</v>
      </c>
      <c r="F394">
        <v>100</v>
      </c>
      <c r="G394" s="11" t="str" cm="1">
        <f t="array" ref="G394">TRIM(RemoveSpecial(D394))</f>
        <v>Bachelor of Medicine and Bachelor of Surgery</v>
      </c>
      <c r="H394" s="11" t="e">
        <f>VLOOKUP(G394,'course-cluster'!$A$2:$C$137,3, FALSE)</f>
        <v>#N/A</v>
      </c>
      <c r="I394" s="12" t="s">
        <v>384</v>
      </c>
    </row>
    <row r="395" spans="1:9" x14ac:dyDescent="0.55000000000000004">
      <c r="A395">
        <v>2015</v>
      </c>
      <c r="B395" t="s">
        <v>53</v>
      </c>
      <c r="C395" t="s">
        <v>90</v>
      </c>
      <c r="D395" t="s">
        <v>127</v>
      </c>
      <c r="E395">
        <v>100</v>
      </c>
      <c r="F395">
        <v>100</v>
      </c>
      <c r="G395" s="11" t="str" cm="1">
        <f t="array" ref="G395">TRIM(RemoveSpecial(D395))</f>
        <v>Bachelor of Medicine and Bachelor of Surgery</v>
      </c>
      <c r="H395" s="11" t="e">
        <f>VLOOKUP(G395,'course-cluster'!$A$2:$C$137,3, FALSE)</f>
        <v>#N/A</v>
      </c>
      <c r="I395" s="12" t="s">
        <v>384</v>
      </c>
    </row>
    <row r="396" spans="1:9" x14ac:dyDescent="0.55000000000000004">
      <c r="A396">
        <v>2017</v>
      </c>
      <c r="B396" t="s">
        <v>53</v>
      </c>
      <c r="C396" t="s">
        <v>232</v>
      </c>
      <c r="D396" t="s">
        <v>287</v>
      </c>
      <c r="E396">
        <v>100</v>
      </c>
      <c r="F396">
        <v>100</v>
      </c>
      <c r="G396" s="11" t="str" cm="1">
        <f t="array" ref="G396">TRIM(RemoveSpecial(D396))</f>
        <v>Bachelor of Medicine And Bachelor Of Surgery</v>
      </c>
      <c r="H396" s="11" t="e">
        <f>VLOOKUP(G396,'course-cluster'!$A$2:$C$137,3, FALSE)</f>
        <v>#N/A</v>
      </c>
      <c r="I396" s="12" t="s">
        <v>384</v>
      </c>
    </row>
    <row r="397" spans="1:9" x14ac:dyDescent="0.55000000000000004">
      <c r="A397">
        <v>2016</v>
      </c>
      <c r="B397" t="s">
        <v>53</v>
      </c>
      <c r="C397" t="s">
        <v>232</v>
      </c>
      <c r="D397" t="s">
        <v>233</v>
      </c>
      <c r="E397">
        <v>99.4</v>
      </c>
      <c r="F397">
        <v>99.4</v>
      </c>
      <c r="G397" s="11" t="str" cm="1">
        <f t="array" ref="G397">TRIM(RemoveSpecial(D397))</f>
        <v>Bachelor of Medicine and Bachelor Of Surgery</v>
      </c>
      <c r="H397" s="11" t="e">
        <f>VLOOKUP(G397,'course-cluster'!$A$2:$C$137,3, FALSE)</f>
        <v>#N/A</v>
      </c>
      <c r="I397" s="12" t="s">
        <v>384</v>
      </c>
    </row>
    <row r="398" spans="1:9" x14ac:dyDescent="0.55000000000000004">
      <c r="A398">
        <v>2013</v>
      </c>
      <c r="B398" t="s">
        <v>53</v>
      </c>
      <c r="C398" t="s">
        <v>90</v>
      </c>
      <c r="D398" t="s">
        <v>91</v>
      </c>
      <c r="E398">
        <v>100</v>
      </c>
      <c r="F398">
        <v>100</v>
      </c>
      <c r="G398" s="11" t="str" cm="1">
        <f t="array" ref="G398">TRIM(RemoveSpecial(D398))</f>
        <v>Bachelor of Medicine and Bachelor of Surgery (MBBS)</v>
      </c>
      <c r="H398" s="11" t="e">
        <f>VLOOKUP(G398,'course-cluster'!$A$2:$C$137,3, FALSE)</f>
        <v>#N/A</v>
      </c>
      <c r="I398" s="12" t="s">
        <v>384</v>
      </c>
    </row>
    <row r="399" spans="1:9" x14ac:dyDescent="0.55000000000000004">
      <c r="A399">
        <v>2019</v>
      </c>
      <c r="B399" t="s">
        <v>53</v>
      </c>
      <c r="C399" t="s">
        <v>63</v>
      </c>
      <c r="D399" t="s">
        <v>461</v>
      </c>
      <c r="E399">
        <v>100</v>
      </c>
      <c r="F399">
        <v>100</v>
      </c>
      <c r="G399" s="11" t="str" cm="1">
        <f t="array" ref="G399">TRIM(RemoveSpecial(D399))</f>
        <v>Bachelor of Science (Business Analytics)</v>
      </c>
      <c r="H399" s="11" t="str">
        <f>VLOOKUP(G399,'course-cluster'!$A$2:$C$137,3, FALSE)</f>
        <v>Information &amp; Digital Technologies</v>
      </c>
      <c r="I399" s="12" t="s">
        <v>409</v>
      </c>
    </row>
    <row r="400" spans="1:9" x14ac:dyDescent="0.55000000000000004">
      <c r="A400">
        <v>2018</v>
      </c>
      <c r="B400" t="s">
        <v>53</v>
      </c>
      <c r="C400" t="s">
        <v>63</v>
      </c>
      <c r="D400" t="s">
        <v>69</v>
      </c>
      <c r="E400">
        <v>98.4</v>
      </c>
      <c r="F400">
        <v>95.3</v>
      </c>
      <c r="G400" s="11" t="str" cm="1">
        <f t="array" ref="G400">TRIM(RemoveSpecial(D400))</f>
        <v>Bachelor of Computing (Information Systems)</v>
      </c>
      <c r="H400" s="11" t="str">
        <f>VLOOKUP(G400,'course-cluster'!$A$2:$C$137,3, FALSE)</f>
        <v>Information &amp; Digital Technologies</v>
      </c>
      <c r="I400" s="12" t="s">
        <v>409</v>
      </c>
    </row>
    <row r="401" spans="1:9" x14ac:dyDescent="0.55000000000000004">
      <c r="A401">
        <v>2017</v>
      </c>
      <c r="B401" t="s">
        <v>53</v>
      </c>
      <c r="C401" t="s">
        <v>63</v>
      </c>
      <c r="D401" t="s">
        <v>286</v>
      </c>
      <c r="E401">
        <v>97.6</v>
      </c>
      <c r="F401">
        <v>97.6</v>
      </c>
      <c r="G401" s="11" t="str" cm="1">
        <f t="array" ref="G401">TRIM(RemoveSpecial(D401))</f>
        <v>Bachelor of Science (Business Analytics)</v>
      </c>
      <c r="H401" s="11" t="str">
        <f>VLOOKUP(G401,'course-cluster'!$A$2:$C$137,3, FALSE)</f>
        <v>Information &amp; Digital Technologies</v>
      </c>
      <c r="I401" s="12" t="s">
        <v>409</v>
      </c>
    </row>
    <row r="402" spans="1:9" x14ac:dyDescent="0.55000000000000004">
      <c r="A402">
        <v>2015</v>
      </c>
      <c r="B402" t="s">
        <v>53</v>
      </c>
      <c r="C402" t="s">
        <v>63</v>
      </c>
      <c r="D402" t="s">
        <v>69</v>
      </c>
      <c r="E402">
        <v>97.2</v>
      </c>
      <c r="F402">
        <v>97.2</v>
      </c>
      <c r="G402" s="11" t="str" cm="1">
        <f t="array" ref="G402">TRIM(RemoveSpecial(D402))</f>
        <v>Bachelor of Computing (Information Systems)</v>
      </c>
      <c r="H402" s="11" t="str">
        <f>VLOOKUP(G402,'course-cluster'!$A$2:$C$137,3, FALSE)</f>
        <v>Information &amp; Digital Technologies</v>
      </c>
      <c r="I402" s="12" t="s">
        <v>409</v>
      </c>
    </row>
    <row r="403" spans="1:9" x14ac:dyDescent="0.55000000000000004">
      <c r="A403">
        <v>2015</v>
      </c>
      <c r="B403" t="s">
        <v>53</v>
      </c>
      <c r="C403" t="s">
        <v>63</v>
      </c>
      <c r="D403" t="s">
        <v>67</v>
      </c>
      <c r="E403">
        <v>97</v>
      </c>
      <c r="F403">
        <v>95</v>
      </c>
      <c r="G403" s="11" t="str" cm="1">
        <f t="array" ref="G403">TRIM(RemoveSpecial(D403))</f>
        <v>Bachelor of Computing (Computer Science)</v>
      </c>
      <c r="H403" s="11" t="str">
        <f>VLOOKUP(G403,'course-cluster'!$A$2:$C$137,3, FALSE)</f>
        <v>Information &amp; Digital Technologies</v>
      </c>
      <c r="I403" s="12" t="s">
        <v>409</v>
      </c>
    </row>
    <row r="404" spans="1:9" x14ac:dyDescent="0.55000000000000004">
      <c r="A404">
        <v>2018</v>
      </c>
      <c r="B404" t="s">
        <v>53</v>
      </c>
      <c r="C404" t="s">
        <v>63</v>
      </c>
      <c r="D404" t="s">
        <v>67</v>
      </c>
      <c r="E404">
        <v>96.9</v>
      </c>
      <c r="F404">
        <v>91.8</v>
      </c>
      <c r="G404" s="11" t="str" cm="1">
        <f t="array" ref="G404">TRIM(RemoveSpecial(D404))</f>
        <v>Bachelor of Computing (Computer Science)</v>
      </c>
      <c r="H404" s="11" t="str">
        <f>VLOOKUP(G404,'course-cluster'!$A$2:$C$137,3, FALSE)</f>
        <v>Information &amp; Digital Technologies</v>
      </c>
      <c r="I404" s="12" t="s">
        <v>409</v>
      </c>
    </row>
    <row r="405" spans="1:9" x14ac:dyDescent="0.55000000000000004">
      <c r="A405">
        <v>2016</v>
      </c>
      <c r="B405" t="s">
        <v>53</v>
      </c>
      <c r="C405" t="s">
        <v>63</v>
      </c>
      <c r="D405" t="s">
        <v>67</v>
      </c>
      <c r="E405">
        <v>96.3</v>
      </c>
      <c r="F405">
        <v>93.3</v>
      </c>
      <c r="G405" s="11" t="str" cm="1">
        <f t="array" ref="G405">TRIM(RemoveSpecial(D405))</f>
        <v>Bachelor of Computing (Computer Science)</v>
      </c>
      <c r="H405" s="11" t="str">
        <f>VLOOKUP(G405,'course-cluster'!$A$2:$C$137,3, FALSE)</f>
        <v>Information &amp; Digital Technologies</v>
      </c>
      <c r="I405" s="12" t="s">
        <v>409</v>
      </c>
    </row>
    <row r="406" spans="1:9" x14ac:dyDescent="0.55000000000000004">
      <c r="A406">
        <v>2017</v>
      </c>
      <c r="B406" t="s">
        <v>146</v>
      </c>
      <c r="C406" t="s">
        <v>170</v>
      </c>
      <c r="D406" t="s">
        <v>218</v>
      </c>
      <c r="E406">
        <v>95.8</v>
      </c>
      <c r="F406">
        <v>85.9</v>
      </c>
      <c r="G406" s="11" t="str" cm="1">
        <f t="array" ref="G406">TRIM(RemoveSpecial(D406))</f>
        <v>Bachelor of Science with Honours in Computing Science</v>
      </c>
      <c r="H406" s="11" t="str">
        <f>VLOOKUP(G406,'course-cluster'!$A$2:$C$137,3, FALSE)</f>
        <v>Information &amp; Digital Technologies</v>
      </c>
      <c r="I406" s="12" t="s">
        <v>409</v>
      </c>
    </row>
    <row r="407" spans="1:9" x14ac:dyDescent="0.55000000000000004">
      <c r="A407">
        <v>2015</v>
      </c>
      <c r="B407" t="s">
        <v>146</v>
      </c>
      <c r="C407" t="s">
        <v>170</v>
      </c>
      <c r="D407" t="s">
        <v>218</v>
      </c>
      <c r="E407">
        <v>95.6</v>
      </c>
      <c r="F407">
        <v>86.7</v>
      </c>
      <c r="G407" s="11" t="str" cm="1">
        <f t="array" ref="G407">TRIM(RemoveSpecial(D407))</f>
        <v>Bachelor of Science with Honours in Computing Science</v>
      </c>
      <c r="H407" s="11" t="str">
        <f>VLOOKUP(G407,'course-cluster'!$A$2:$C$137,3, FALSE)</f>
        <v>Information &amp; Digital Technologies</v>
      </c>
      <c r="I407" s="12" t="s">
        <v>409</v>
      </c>
    </row>
    <row r="408" spans="1:9" x14ac:dyDescent="0.55000000000000004">
      <c r="A408">
        <v>2014</v>
      </c>
      <c r="B408" t="s">
        <v>53</v>
      </c>
      <c r="C408" t="s">
        <v>63</v>
      </c>
      <c r="D408" t="s">
        <v>69</v>
      </c>
      <c r="E408">
        <v>95.5</v>
      </c>
      <c r="F408">
        <v>92</v>
      </c>
      <c r="G408" s="11" t="str" cm="1">
        <f t="array" ref="G408">TRIM(RemoveSpecial(D408))</f>
        <v>Bachelor of Computing (Information Systems)</v>
      </c>
      <c r="H408" s="11" t="str">
        <f>VLOOKUP(G408,'course-cluster'!$A$2:$C$137,3, FALSE)</f>
        <v>Information &amp; Digital Technologies</v>
      </c>
      <c r="I408" s="12" t="s">
        <v>409</v>
      </c>
    </row>
    <row r="409" spans="1:9" x14ac:dyDescent="0.55000000000000004">
      <c r="A409">
        <v>2014</v>
      </c>
      <c r="B409" t="s">
        <v>53</v>
      </c>
      <c r="C409" t="s">
        <v>77</v>
      </c>
      <c r="D409" t="s">
        <v>81</v>
      </c>
      <c r="E409">
        <v>95.2</v>
      </c>
      <c r="F409">
        <v>92.4</v>
      </c>
      <c r="G409" s="11" t="str" cm="1">
        <f t="array" ref="G409">TRIM(RemoveSpecial(D409))</f>
        <v>Bachelor of Engineering (Computer Engineering)</v>
      </c>
      <c r="H409" s="11" t="str">
        <f>VLOOKUP(G409,'course-cluster'!$A$2:$C$137,3, FALSE)</f>
        <v>Information &amp; Digital Technologies</v>
      </c>
      <c r="I409" s="12" t="s">
        <v>409</v>
      </c>
    </row>
    <row r="410" spans="1:9" x14ac:dyDescent="0.55000000000000004">
      <c r="A410">
        <v>2017</v>
      </c>
      <c r="B410" t="s">
        <v>12</v>
      </c>
      <c r="C410" t="s">
        <v>18</v>
      </c>
      <c r="D410" t="s">
        <v>250</v>
      </c>
      <c r="E410">
        <v>95.1</v>
      </c>
      <c r="F410">
        <v>87.8</v>
      </c>
      <c r="G410" s="11" t="str" cm="1">
        <f t="array" ref="G410">TRIM(RemoveSpecial(D410))</f>
        <v>Bachelor of Engineering (Hons) (Computer Engineering)</v>
      </c>
      <c r="H410" s="11" t="str">
        <f>VLOOKUP(G410,'course-cluster'!$A$2:$C$137,3, FALSE)</f>
        <v>Information &amp; Digital Technologies</v>
      </c>
      <c r="I410" s="12" t="s">
        <v>409</v>
      </c>
    </row>
    <row r="411" spans="1:9" x14ac:dyDescent="0.55000000000000004">
      <c r="A411">
        <v>2018</v>
      </c>
      <c r="B411" t="s">
        <v>146</v>
      </c>
      <c r="C411" t="s">
        <v>170</v>
      </c>
      <c r="D411" t="s">
        <v>218</v>
      </c>
      <c r="E411">
        <v>94.7</v>
      </c>
      <c r="F411">
        <v>89.3</v>
      </c>
      <c r="G411" s="11" t="str" cm="1">
        <f t="array" ref="G411">TRIM(RemoveSpecial(D411))</f>
        <v>Bachelor of Science with Honours in Computing Science</v>
      </c>
      <c r="H411" s="11" t="str">
        <f>VLOOKUP(G411,'course-cluster'!$A$2:$C$137,3, FALSE)</f>
        <v>Information &amp; Digital Technologies</v>
      </c>
      <c r="I411" s="12" t="s">
        <v>409</v>
      </c>
    </row>
    <row r="412" spans="1:9" x14ac:dyDescent="0.55000000000000004">
      <c r="A412">
        <v>2017</v>
      </c>
      <c r="B412" t="s">
        <v>53</v>
      </c>
      <c r="C412" t="s">
        <v>63</v>
      </c>
      <c r="D412" t="s">
        <v>69</v>
      </c>
      <c r="E412">
        <v>94.5</v>
      </c>
      <c r="F412">
        <v>91.8</v>
      </c>
      <c r="G412" s="11" t="str" cm="1">
        <f t="array" ref="G412">TRIM(RemoveSpecial(D412))</f>
        <v>Bachelor of Computing (Information Systems)</v>
      </c>
      <c r="H412" s="11" t="str">
        <f>VLOOKUP(G412,'course-cluster'!$A$2:$C$137,3, FALSE)</f>
        <v>Information &amp; Digital Technologies</v>
      </c>
      <c r="I412" s="12" t="s">
        <v>409</v>
      </c>
    </row>
    <row r="413" spans="1:9" x14ac:dyDescent="0.55000000000000004">
      <c r="A413">
        <v>2016</v>
      </c>
      <c r="B413" t="s">
        <v>53</v>
      </c>
      <c r="C413" t="s">
        <v>63</v>
      </c>
      <c r="D413" t="s">
        <v>69</v>
      </c>
      <c r="E413">
        <v>94</v>
      </c>
      <c r="F413">
        <v>94</v>
      </c>
      <c r="G413" s="11" t="str" cm="1">
        <f t="array" ref="G413">TRIM(RemoveSpecial(D413))</f>
        <v>Bachelor of Computing (Information Systems)</v>
      </c>
      <c r="H413" s="11" t="str">
        <f>VLOOKUP(G413,'course-cluster'!$A$2:$C$137,3, FALSE)</f>
        <v>Information &amp; Digital Technologies</v>
      </c>
      <c r="I413" s="12" t="s">
        <v>409</v>
      </c>
    </row>
    <row r="414" spans="1:9" x14ac:dyDescent="0.55000000000000004">
      <c r="A414">
        <v>2017</v>
      </c>
      <c r="B414" t="s">
        <v>53</v>
      </c>
      <c r="C414" t="s">
        <v>63</v>
      </c>
      <c r="D414" t="s">
        <v>67</v>
      </c>
      <c r="E414">
        <v>93.5</v>
      </c>
      <c r="F414">
        <v>89.4</v>
      </c>
      <c r="G414" s="11" t="str" cm="1">
        <f t="array" ref="G414">TRIM(RemoveSpecial(D414))</f>
        <v>Bachelor of Computing (Computer Science)</v>
      </c>
      <c r="H414" s="11" t="str">
        <f>VLOOKUP(G414,'course-cluster'!$A$2:$C$137,3, FALSE)</f>
        <v>Information &amp; Digital Technologies</v>
      </c>
      <c r="I414" s="12" t="s">
        <v>409</v>
      </c>
    </row>
    <row r="415" spans="1:9" x14ac:dyDescent="0.55000000000000004">
      <c r="A415">
        <v>2018</v>
      </c>
      <c r="B415" t="s">
        <v>53</v>
      </c>
      <c r="C415" t="s">
        <v>63</v>
      </c>
      <c r="D415" t="s">
        <v>286</v>
      </c>
      <c r="E415">
        <v>93.5</v>
      </c>
      <c r="F415">
        <v>93.5</v>
      </c>
      <c r="G415" s="11" t="str" cm="1">
        <f t="array" ref="G415">TRIM(RemoveSpecial(D415))</f>
        <v>Bachelor of Science (Business Analytics)</v>
      </c>
      <c r="H415" s="11" t="str">
        <f>VLOOKUP(G415,'course-cluster'!$A$2:$C$137,3, FALSE)</f>
        <v>Information &amp; Digital Technologies</v>
      </c>
      <c r="I415" s="12" t="s">
        <v>409</v>
      </c>
    </row>
    <row r="416" spans="1:9" x14ac:dyDescent="0.55000000000000004">
      <c r="A416">
        <v>2019</v>
      </c>
      <c r="B416" t="s">
        <v>53</v>
      </c>
      <c r="C416" t="s">
        <v>232</v>
      </c>
      <c r="D416" t="s">
        <v>466</v>
      </c>
      <c r="E416">
        <v>99.5</v>
      </c>
      <c r="F416">
        <v>99.5</v>
      </c>
      <c r="G416" s="11" t="str" cm="1">
        <f t="array" ref="G416">TRIM(RemoveSpecial(D416))</f>
        <v>Bachelor of Medicine and Bachelor of Surgery6</v>
      </c>
      <c r="H416" s="11" t="e">
        <f>VLOOKUP(G416,'course-cluster'!$A$2:$C$137,3, FALSE)</f>
        <v>#N/A</v>
      </c>
      <c r="I416" s="12" t="s">
        <v>384</v>
      </c>
    </row>
    <row r="417" spans="1:9" x14ac:dyDescent="0.55000000000000004">
      <c r="A417">
        <v>2013</v>
      </c>
      <c r="B417" t="s">
        <v>53</v>
      </c>
      <c r="C417" t="s">
        <v>63</v>
      </c>
      <c r="D417" t="s">
        <v>67</v>
      </c>
      <c r="E417">
        <v>92.4</v>
      </c>
      <c r="F417">
        <v>83.3</v>
      </c>
      <c r="G417" s="11" t="str" cm="1">
        <f t="array" ref="G417">TRIM(RemoveSpecial(D417))</f>
        <v>Bachelor of Computing (Computer Science)</v>
      </c>
      <c r="H417" s="11" t="str">
        <f>VLOOKUP(G417,'course-cluster'!$A$2:$C$137,3, FALSE)</f>
        <v>Information &amp; Digital Technologies</v>
      </c>
      <c r="I417" s="12" t="s">
        <v>409</v>
      </c>
    </row>
    <row r="418" spans="1:9" x14ac:dyDescent="0.55000000000000004">
      <c r="A418">
        <v>2017</v>
      </c>
      <c r="B418" t="s">
        <v>12</v>
      </c>
      <c r="C418" t="s">
        <v>18</v>
      </c>
      <c r="D418" t="s">
        <v>251</v>
      </c>
      <c r="E418">
        <v>92.4</v>
      </c>
      <c r="F418">
        <v>86.7</v>
      </c>
      <c r="G418" s="11" t="str" cm="1">
        <f t="array" ref="G418">TRIM(RemoveSpecial(D418))</f>
        <v>Bachelor of Engineering (Hons) (Computer Science)</v>
      </c>
      <c r="H418" s="11" t="str">
        <f>VLOOKUP(G418,'course-cluster'!$A$2:$C$137,3, FALSE)</f>
        <v>Information &amp; Digital Technologies</v>
      </c>
      <c r="I418" s="12" t="s">
        <v>409</v>
      </c>
    </row>
    <row r="419" spans="1:9" x14ac:dyDescent="0.55000000000000004">
      <c r="A419">
        <v>2016</v>
      </c>
      <c r="B419" t="s">
        <v>53</v>
      </c>
      <c r="C419" t="s">
        <v>94</v>
      </c>
      <c r="D419" t="s">
        <v>193</v>
      </c>
      <c r="E419">
        <v>85.7</v>
      </c>
      <c r="F419">
        <v>14.3</v>
      </c>
      <c r="G419" s="11" t="str" cm="1">
        <f t="array" ref="G419">TRIM(RemoveSpecial(D419))</f>
        <v>Bachelor of Music</v>
      </c>
      <c r="H419" s="11" t="e">
        <f>VLOOKUP(G419,'course-cluster'!$A$2:$C$137,3, FALSE)</f>
        <v>#N/A</v>
      </c>
      <c r="I419" s="12" t="s">
        <v>354</v>
      </c>
    </row>
    <row r="420" spans="1:9" x14ac:dyDescent="0.55000000000000004">
      <c r="A420">
        <v>2016</v>
      </c>
      <c r="B420" t="s">
        <v>207</v>
      </c>
      <c r="C420" t="s">
        <v>42</v>
      </c>
      <c r="D420" t="s">
        <v>210</v>
      </c>
      <c r="E420">
        <v>91.9</v>
      </c>
      <c r="F420">
        <v>91.9</v>
      </c>
      <c r="G420" s="11" t="str" cm="1">
        <f t="array" ref="G420">TRIM(RemoveSpecial(D420))</f>
        <v>Bachelor of Engineering (Information Systems Technology and Design)</v>
      </c>
      <c r="H420" s="11" t="str">
        <f>VLOOKUP(G420,'course-cluster'!$A$2:$C$137,3, FALSE)</f>
        <v>Information &amp; Digital Technologies</v>
      </c>
      <c r="I420" s="12" t="s">
        <v>409</v>
      </c>
    </row>
    <row r="421" spans="1:9" x14ac:dyDescent="0.55000000000000004">
      <c r="A421">
        <v>2015</v>
      </c>
      <c r="B421" t="s">
        <v>53</v>
      </c>
      <c r="C421" t="s">
        <v>77</v>
      </c>
      <c r="D421" t="s">
        <v>81</v>
      </c>
      <c r="E421">
        <v>91.8</v>
      </c>
      <c r="F421">
        <v>90.6</v>
      </c>
      <c r="G421" s="11" t="str" cm="1">
        <f t="array" ref="G421">TRIM(RemoveSpecial(D421))</f>
        <v>Bachelor of Engineering (Computer Engineering)</v>
      </c>
      <c r="H421" s="11" t="str">
        <f>VLOOKUP(G421,'course-cluster'!$A$2:$C$137,3, FALSE)</f>
        <v>Information &amp; Digital Technologies</v>
      </c>
      <c r="I421" s="12" t="s">
        <v>409</v>
      </c>
    </row>
    <row r="422" spans="1:9" x14ac:dyDescent="0.55000000000000004">
      <c r="A422">
        <v>2014</v>
      </c>
      <c r="B422" t="s">
        <v>53</v>
      </c>
      <c r="C422" t="s">
        <v>63</v>
      </c>
      <c r="D422" t="s">
        <v>67</v>
      </c>
      <c r="E422">
        <v>90.6</v>
      </c>
      <c r="F422">
        <v>85.9</v>
      </c>
      <c r="G422" s="11" t="str" cm="1">
        <f t="array" ref="G422">TRIM(RemoveSpecial(D422))</f>
        <v>Bachelor of Computing (Computer Science)</v>
      </c>
      <c r="H422" s="11" t="str">
        <f>VLOOKUP(G422,'course-cluster'!$A$2:$C$137,3, FALSE)</f>
        <v>Information &amp; Digital Technologies</v>
      </c>
      <c r="I422" s="12" t="s">
        <v>409</v>
      </c>
    </row>
    <row r="423" spans="1:9" x14ac:dyDescent="0.55000000000000004">
      <c r="A423">
        <v>2019</v>
      </c>
      <c r="B423" t="s">
        <v>53</v>
      </c>
      <c r="C423" t="s">
        <v>469</v>
      </c>
      <c r="D423" t="s">
        <v>470</v>
      </c>
      <c r="E423">
        <v>82.6</v>
      </c>
      <c r="F423">
        <v>39.1</v>
      </c>
      <c r="G423" s="11" t="str" cm="1">
        <f t="array" ref="G423">TRIM(RemoveSpecial(D423))</f>
        <v>Bachelor of Music</v>
      </c>
      <c r="H423" s="11" t="e">
        <f>VLOOKUP(G423,'course-cluster'!$A$2:$C$137,3, FALSE)</f>
        <v>#N/A</v>
      </c>
      <c r="I423" s="12" t="s">
        <v>354</v>
      </c>
    </row>
    <row r="424" spans="1:9" x14ac:dyDescent="0.55000000000000004">
      <c r="A424">
        <v>2016</v>
      </c>
      <c r="B424" t="s">
        <v>146</v>
      </c>
      <c r="C424" t="s">
        <v>170</v>
      </c>
      <c r="D424" t="s">
        <v>218</v>
      </c>
      <c r="E424">
        <v>89.8</v>
      </c>
      <c r="F424">
        <v>81.599999999999994</v>
      </c>
      <c r="G424" s="11" t="str" cm="1">
        <f t="array" ref="G424">TRIM(RemoveSpecial(D424))</f>
        <v>Bachelor of Science with Honours in Computing Science</v>
      </c>
      <c r="H424" s="11" t="str">
        <f>VLOOKUP(G424,'course-cluster'!$A$2:$C$137,3, FALSE)</f>
        <v>Information &amp; Digital Technologies</v>
      </c>
      <c r="I424" s="12" t="s">
        <v>409</v>
      </c>
    </row>
    <row r="425" spans="1:9" x14ac:dyDescent="0.55000000000000004">
      <c r="A425">
        <v>2017</v>
      </c>
      <c r="B425" t="s">
        <v>53</v>
      </c>
      <c r="C425" t="s">
        <v>292</v>
      </c>
      <c r="D425" t="s">
        <v>81</v>
      </c>
      <c r="E425">
        <v>89.4</v>
      </c>
      <c r="F425">
        <v>84.7</v>
      </c>
      <c r="G425" s="11" t="str" cm="1">
        <f t="array" ref="G425">TRIM(RemoveSpecial(D425))</f>
        <v>Bachelor of Engineering (Computer Engineering)</v>
      </c>
      <c r="H425" s="11" t="str">
        <f>VLOOKUP(G425,'course-cluster'!$A$2:$C$137,3, FALSE)</f>
        <v>Information &amp; Digital Technologies</v>
      </c>
      <c r="I425" s="12" t="s">
        <v>409</v>
      </c>
    </row>
    <row r="426" spans="1:9" x14ac:dyDescent="0.55000000000000004">
      <c r="A426">
        <v>2013</v>
      </c>
      <c r="B426" t="s">
        <v>53</v>
      </c>
      <c r="C426" t="s">
        <v>63</v>
      </c>
      <c r="D426" t="s">
        <v>69</v>
      </c>
      <c r="E426">
        <v>89.2</v>
      </c>
      <c r="F426">
        <v>83.9</v>
      </c>
      <c r="G426" s="11" t="str" cm="1">
        <f t="array" ref="G426">TRIM(RemoveSpecial(D426))</f>
        <v>Bachelor of Computing (Information Systems)</v>
      </c>
      <c r="H426" s="11" t="str">
        <f>VLOOKUP(G426,'course-cluster'!$A$2:$C$137,3, FALSE)</f>
        <v>Information &amp; Digital Technologies</v>
      </c>
      <c r="I426" s="12" t="s">
        <v>409</v>
      </c>
    </row>
    <row r="427" spans="1:9" x14ac:dyDescent="0.55000000000000004">
      <c r="A427">
        <v>2016</v>
      </c>
      <c r="B427" t="s">
        <v>53</v>
      </c>
      <c r="C427" t="s">
        <v>226</v>
      </c>
      <c r="D427" t="s">
        <v>81</v>
      </c>
      <c r="E427">
        <v>89.1</v>
      </c>
      <c r="F427">
        <v>85.9</v>
      </c>
      <c r="G427" s="11" t="str" cm="1">
        <f t="array" ref="G427">TRIM(RemoveSpecial(D427))</f>
        <v>Bachelor of Engineering (Computer Engineering)</v>
      </c>
      <c r="H427" s="11" t="str">
        <f>VLOOKUP(G427,'course-cluster'!$A$2:$C$137,3, FALSE)</f>
        <v>Information &amp; Digital Technologies</v>
      </c>
      <c r="I427" s="12" t="s">
        <v>409</v>
      </c>
    </row>
    <row r="428" spans="1:9" x14ac:dyDescent="0.55000000000000004">
      <c r="A428">
        <v>2013</v>
      </c>
      <c r="B428" t="s">
        <v>53</v>
      </c>
      <c r="C428" t="s">
        <v>77</v>
      </c>
      <c r="D428" t="s">
        <v>81</v>
      </c>
      <c r="E428">
        <v>88.9</v>
      </c>
      <c r="F428">
        <v>85.6</v>
      </c>
      <c r="G428" s="11" t="str" cm="1">
        <f t="array" ref="G428">TRIM(RemoveSpecial(D428))</f>
        <v>Bachelor of Engineering (Computer Engineering)</v>
      </c>
      <c r="H428" s="11" t="str">
        <f>VLOOKUP(G428,'course-cluster'!$A$2:$C$137,3, FALSE)</f>
        <v>Information &amp; Digital Technologies</v>
      </c>
      <c r="I428" s="12" t="s">
        <v>409</v>
      </c>
    </row>
    <row r="429" spans="1:9" x14ac:dyDescent="0.55000000000000004">
      <c r="A429">
        <v>2015</v>
      </c>
      <c r="B429" t="s">
        <v>53</v>
      </c>
      <c r="C429" t="s">
        <v>94</v>
      </c>
      <c r="D429" t="s">
        <v>193</v>
      </c>
      <c r="E429">
        <v>82.4</v>
      </c>
      <c r="F429">
        <v>41.2</v>
      </c>
      <c r="G429" s="11" t="str" cm="1">
        <f t="array" ref="G429">TRIM(RemoveSpecial(D429))</f>
        <v>Bachelor of Music</v>
      </c>
      <c r="H429" s="11" t="e">
        <f>VLOOKUP(G429,'course-cluster'!$A$2:$C$137,3, FALSE)</f>
        <v>#N/A</v>
      </c>
      <c r="I429" s="12" t="s">
        <v>354</v>
      </c>
    </row>
    <row r="430" spans="1:9" x14ac:dyDescent="0.55000000000000004">
      <c r="A430">
        <v>2018</v>
      </c>
      <c r="B430" t="s">
        <v>53</v>
      </c>
      <c r="C430" t="s">
        <v>325</v>
      </c>
      <c r="D430" t="s">
        <v>81</v>
      </c>
      <c r="E430">
        <v>88.6</v>
      </c>
      <c r="F430">
        <v>84.3</v>
      </c>
      <c r="G430" s="11" t="str" cm="1">
        <f t="array" ref="G430">TRIM(RemoveSpecial(D430))</f>
        <v>Bachelor of Engineering (Computer Engineering)</v>
      </c>
      <c r="H430" s="11" t="str">
        <f>VLOOKUP(G430,'course-cluster'!$A$2:$C$137,3, FALSE)</f>
        <v>Information &amp; Digital Technologies</v>
      </c>
      <c r="I430" s="12" t="s">
        <v>409</v>
      </c>
    </row>
    <row r="431" spans="1:9" x14ac:dyDescent="0.55000000000000004">
      <c r="A431">
        <v>2015</v>
      </c>
      <c r="B431" t="s">
        <v>207</v>
      </c>
      <c r="C431" t="s">
        <v>42</v>
      </c>
      <c r="D431" t="s">
        <v>210</v>
      </c>
      <c r="E431">
        <v>86</v>
      </c>
      <c r="F431">
        <v>83.7</v>
      </c>
      <c r="G431" s="11" t="str" cm="1">
        <f t="array" ref="G431">TRIM(RemoveSpecial(D431))</f>
        <v>Bachelor of Engineering (Information Systems Technology and Design)</v>
      </c>
      <c r="H431" s="11" t="str">
        <f>VLOOKUP(G431,'course-cluster'!$A$2:$C$137,3, FALSE)</f>
        <v>Information &amp; Digital Technologies</v>
      </c>
      <c r="I431" s="12" t="s">
        <v>409</v>
      </c>
    </row>
    <row r="432" spans="1:9" x14ac:dyDescent="0.55000000000000004">
      <c r="A432">
        <v>2018</v>
      </c>
      <c r="B432" t="s">
        <v>53</v>
      </c>
      <c r="C432" t="s">
        <v>94</v>
      </c>
      <c r="D432" t="s">
        <v>193</v>
      </c>
      <c r="E432">
        <v>81</v>
      </c>
      <c r="F432">
        <v>23.8</v>
      </c>
      <c r="G432" s="11" t="str" cm="1">
        <f t="array" ref="G432">TRIM(RemoveSpecial(D432))</f>
        <v>Bachelor of Music</v>
      </c>
      <c r="H432" s="11" t="e">
        <f>VLOOKUP(G432,'course-cluster'!$A$2:$C$137,3, FALSE)</f>
        <v>#N/A</v>
      </c>
      <c r="I432" s="12" t="s">
        <v>354</v>
      </c>
    </row>
    <row r="433" spans="1:9" x14ac:dyDescent="0.55000000000000004">
      <c r="A433">
        <v>2019</v>
      </c>
      <c r="B433" t="s">
        <v>53</v>
      </c>
      <c r="C433" t="s">
        <v>63</v>
      </c>
      <c r="D433" t="s">
        <v>460</v>
      </c>
      <c r="E433">
        <v>95.899999999999991</v>
      </c>
      <c r="F433">
        <v>95.899999999999991</v>
      </c>
      <c r="G433" s="11" t="str" cm="1">
        <f t="array" ref="G433">TRIM(RemoveSpecial(D433))</f>
        <v>Bachelor of Computing (Information Systems)</v>
      </c>
      <c r="H433" s="11" t="str">
        <f>VLOOKUP(G433,'course-cluster'!$A$2:$C$137,3, FALSE)</f>
        <v>Information &amp; Digital Technologies</v>
      </c>
      <c r="I433" s="12" t="s">
        <v>409</v>
      </c>
    </row>
    <row r="434" spans="1:9" x14ac:dyDescent="0.55000000000000004">
      <c r="A434">
        <v>2018</v>
      </c>
      <c r="B434" t="s">
        <v>146</v>
      </c>
      <c r="C434" t="s">
        <v>147</v>
      </c>
      <c r="D434" t="s">
        <v>327</v>
      </c>
      <c r="E434">
        <v>94.7</v>
      </c>
      <c r="F434">
        <v>89.5</v>
      </c>
      <c r="G434" s="11" t="str" cm="1">
        <f t="array" ref="G434">TRIM(RemoveSpecial(D434))</f>
        <v>Bachelor of Science in Computer Science and Game Design</v>
      </c>
      <c r="H434" s="11" t="str">
        <f>VLOOKUP(G434,'course-cluster'!$A$2:$C$137,3, FALSE)</f>
        <v>Information &amp; Digital Technologies</v>
      </c>
      <c r="I434" s="12" t="s">
        <v>409</v>
      </c>
    </row>
    <row r="435" spans="1:9" x14ac:dyDescent="0.55000000000000004">
      <c r="A435">
        <v>2019</v>
      </c>
      <c r="B435" t="s">
        <v>53</v>
      </c>
      <c r="C435" t="s">
        <v>473</v>
      </c>
      <c r="D435" t="s">
        <v>474</v>
      </c>
      <c r="E435">
        <v>92.9</v>
      </c>
      <c r="F435">
        <v>91.7</v>
      </c>
      <c r="G435" s="11" t="str" cm="1">
        <f t="array" ref="G435">TRIM(RemoveSpecial(D435))</f>
        <v>Bachelor of Engineering (Computer Engineering)</v>
      </c>
      <c r="H435" s="11" t="str">
        <f>VLOOKUP(G435,'course-cluster'!$A$2:$C$137,3, FALSE)</f>
        <v>Information &amp; Digital Technologies</v>
      </c>
      <c r="I435" s="12" t="s">
        <v>409</v>
      </c>
    </row>
    <row r="436" spans="1:9" x14ac:dyDescent="0.55000000000000004">
      <c r="A436">
        <v>2019</v>
      </c>
      <c r="B436" t="s">
        <v>53</v>
      </c>
      <c r="C436" t="s">
        <v>63</v>
      </c>
      <c r="D436" t="s">
        <v>459</v>
      </c>
      <c r="E436">
        <v>92.800000000000011</v>
      </c>
      <c r="F436">
        <v>90.600000000000009</v>
      </c>
      <c r="G436" s="11" t="str" cm="1">
        <f t="array" ref="G436">TRIM(RemoveSpecial(D436))</f>
        <v>Bachelor of Computing (Computer Science)</v>
      </c>
      <c r="H436" s="11" t="str">
        <f>VLOOKUP(G436,'course-cluster'!$A$2:$C$137,3, FALSE)</f>
        <v>Information &amp; Digital Technologies</v>
      </c>
      <c r="I436" s="12" t="s">
        <v>409</v>
      </c>
    </row>
    <row r="437" spans="1:9" x14ac:dyDescent="0.55000000000000004">
      <c r="A437">
        <v>2019</v>
      </c>
      <c r="B437" t="s">
        <v>146</v>
      </c>
      <c r="C437" t="s">
        <v>170</v>
      </c>
      <c r="D437" t="s">
        <v>566</v>
      </c>
      <c r="E437">
        <v>92.300000000000011</v>
      </c>
      <c r="F437">
        <v>89.2</v>
      </c>
      <c r="G437" s="11" t="str" cm="1">
        <f t="array" ref="G437">TRIM(RemoveSpecial(D437))</f>
        <v>Bachelor of Science with Honours in Computing Science</v>
      </c>
      <c r="H437" s="11" t="str">
        <f>VLOOKUP(G437,'course-cluster'!$A$2:$C$137,3, FALSE)</f>
        <v>Information &amp; Digital Technologies</v>
      </c>
      <c r="I437" s="12" t="s">
        <v>409</v>
      </c>
    </row>
    <row r="438" spans="1:9" x14ac:dyDescent="0.55000000000000004">
      <c r="A438">
        <v>2019</v>
      </c>
      <c r="B438" t="s">
        <v>146</v>
      </c>
      <c r="C438" t="s">
        <v>147</v>
      </c>
      <c r="D438" t="s">
        <v>536</v>
      </c>
      <c r="E438">
        <v>91.3</v>
      </c>
      <c r="F438">
        <v>87</v>
      </c>
      <c r="G438" s="11" t="str" cm="1">
        <f t="array" ref="G438">TRIM(RemoveSpecial(D438))</f>
        <v>Bachelor of Science in Computer Science and Game Design</v>
      </c>
      <c r="H438" s="11" t="str">
        <f>VLOOKUP(G438,'course-cluster'!$A$2:$C$137,3, FALSE)</f>
        <v>Information &amp; Digital Technologies</v>
      </c>
      <c r="I438" s="12" t="s">
        <v>409</v>
      </c>
    </row>
    <row r="439" spans="1:9" x14ac:dyDescent="0.55000000000000004">
      <c r="A439">
        <v>2019</v>
      </c>
      <c r="B439" t="s">
        <v>207</v>
      </c>
      <c r="D439" t="s">
        <v>526</v>
      </c>
      <c r="E439">
        <v>88.8</v>
      </c>
      <c r="F439">
        <v>85.7</v>
      </c>
      <c r="G439" s="11" t="str" cm="1">
        <f t="array" ref="G439">TRIM(RemoveSpecial(D439))</f>
        <v>Bachelor of Engineering (Information Systems Technology and Design)</v>
      </c>
      <c r="H439" s="11" t="str">
        <f>VLOOKUP(G439,'course-cluster'!$A$2:$C$137,3, FALSE)</f>
        <v>Information &amp; Digital Technologies</v>
      </c>
      <c r="I439" s="12" t="s">
        <v>409</v>
      </c>
    </row>
    <row r="440" spans="1:9" x14ac:dyDescent="0.55000000000000004">
      <c r="A440">
        <v>2017</v>
      </c>
      <c r="B440" t="s">
        <v>53</v>
      </c>
      <c r="C440" t="s">
        <v>288</v>
      </c>
      <c r="D440" t="s">
        <v>193</v>
      </c>
      <c r="E440">
        <v>73.3</v>
      </c>
      <c r="F440">
        <v>26.7</v>
      </c>
      <c r="G440" s="11" t="str" cm="1">
        <f t="array" ref="G440">TRIM(RemoveSpecial(D440))</f>
        <v>Bachelor of Music</v>
      </c>
      <c r="H440" s="11" t="e">
        <f>VLOOKUP(G440,'course-cluster'!$A$2:$C$137,3, FALSE)</f>
        <v>#N/A</v>
      </c>
      <c r="I440" s="12" t="s">
        <v>354</v>
      </c>
    </row>
    <row r="441" spans="1:9" x14ac:dyDescent="0.55000000000000004">
      <c r="A441">
        <v>2019</v>
      </c>
      <c r="B441" t="s">
        <v>207</v>
      </c>
      <c r="D441" t="s">
        <v>528</v>
      </c>
      <c r="E441">
        <v>100</v>
      </c>
      <c r="F441">
        <v>91.8</v>
      </c>
      <c r="G441" s="11" t="str" cm="1">
        <f t="array" ref="G441">TRIM(RemoveSpecial(D441))</f>
        <v>Bachelor of Science (Architecture and Sustainable Design) 6</v>
      </c>
      <c r="H441" s="11" t="e">
        <f>VLOOKUP(G441,'course-cluster'!$A$2:$C$137,3, FALSE)</f>
        <v>#N/A</v>
      </c>
      <c r="I441" s="12" t="s">
        <v>358</v>
      </c>
    </row>
    <row r="442" spans="1:9" x14ac:dyDescent="0.55000000000000004">
      <c r="A442">
        <v>2017</v>
      </c>
      <c r="B442" t="s">
        <v>12</v>
      </c>
      <c r="C442" t="s">
        <v>50</v>
      </c>
      <c r="D442" t="s">
        <v>282</v>
      </c>
      <c r="E442">
        <v>100</v>
      </c>
      <c r="F442">
        <v>100</v>
      </c>
      <c r="G442" s="11" t="str" cm="1">
        <f t="array" ref="G442">TRIM(RemoveSpecial(D442))</f>
        <v>Bachelor of Science (Hons) (Education)</v>
      </c>
      <c r="H442" s="11" t="e">
        <f>VLOOKUP(G442,'course-cluster'!$A$2:$C$137,3, FALSE)</f>
        <v>#N/A</v>
      </c>
      <c r="I442" s="12" t="s">
        <v>393</v>
      </c>
    </row>
    <row r="443" spans="1:9" x14ac:dyDescent="0.55000000000000004">
      <c r="A443">
        <v>2017</v>
      </c>
      <c r="B443" t="s">
        <v>12</v>
      </c>
      <c r="C443" t="s">
        <v>279</v>
      </c>
      <c r="D443" t="s">
        <v>280</v>
      </c>
      <c r="E443">
        <v>81.099999999999994</v>
      </c>
      <c r="F443">
        <v>48.6</v>
      </c>
      <c r="G443" s="11" t="str" cm="1">
        <f t="array" ref="G443">TRIM(RemoveSpecial(D443))</f>
        <v>Bachelor of Science (Hons) (Sport Science Management)</v>
      </c>
      <c r="H443" s="11" t="e">
        <f>VLOOKUP(G443,'course-cluster'!$A$2:$C$137,3, FALSE)</f>
        <v>#N/A</v>
      </c>
      <c r="I443" s="12" t="s">
        <v>390</v>
      </c>
    </row>
    <row r="444" spans="1:9" x14ac:dyDescent="0.55000000000000004">
      <c r="A444">
        <v>2017</v>
      </c>
      <c r="B444" t="s">
        <v>12</v>
      </c>
      <c r="C444" t="s">
        <v>40</v>
      </c>
      <c r="D444" t="s">
        <v>275</v>
      </c>
      <c r="E444">
        <v>70.099999999999994</v>
      </c>
      <c r="F444">
        <v>51.1</v>
      </c>
      <c r="G444" s="11" t="str" cm="1">
        <f t="array" ref="G444">TRIM(RemoveSpecial(D444))</f>
        <v>Bachelor of Science (Hons) in Chemistry Biological Chemistry</v>
      </c>
      <c r="H444" s="11" t="e">
        <f>VLOOKUP(G444,'course-cluster'!$A$2:$C$137,3, FALSE)</f>
        <v>#N/A</v>
      </c>
      <c r="I444" s="12" t="s">
        <v>390</v>
      </c>
    </row>
    <row r="445" spans="1:9" x14ac:dyDescent="0.55000000000000004">
      <c r="A445">
        <v>2017</v>
      </c>
      <c r="B445" t="s">
        <v>12</v>
      </c>
      <c r="C445" t="s">
        <v>40</v>
      </c>
      <c r="D445" t="s">
        <v>277</v>
      </c>
      <c r="E445">
        <v>89.8</v>
      </c>
      <c r="F445">
        <v>83.1</v>
      </c>
      <c r="G445" s="11" t="str" cm="1">
        <f t="array" ref="G445">TRIM(RemoveSpecial(D445))</f>
        <v>Bachelor of Science (Hons) in Mathematics Economics</v>
      </c>
      <c r="H445" s="11" t="e">
        <f>VLOOKUP(G445,'course-cluster'!$A$2:$C$137,3, FALSE)</f>
        <v>#N/A</v>
      </c>
      <c r="I445" s="12" t="s">
        <v>390</v>
      </c>
    </row>
    <row r="446" spans="1:9" x14ac:dyDescent="0.55000000000000004">
      <c r="A446">
        <v>2017</v>
      </c>
      <c r="B446" t="s">
        <v>12</v>
      </c>
      <c r="C446" t="s">
        <v>40</v>
      </c>
      <c r="D446" t="s">
        <v>278</v>
      </c>
      <c r="E446">
        <v>81.599999999999994</v>
      </c>
      <c r="F446">
        <v>61.8</v>
      </c>
      <c r="G446" s="11" t="str" cm="1">
        <f t="array" ref="G446">TRIM(RemoveSpecial(D446))</f>
        <v>Bachelor of Science (Hons) in Physics/Applied Physics</v>
      </c>
      <c r="H446" s="11" t="e">
        <f>VLOOKUP(G446,'course-cluster'!$A$2:$C$137,3, FALSE)</f>
        <v>#N/A</v>
      </c>
      <c r="I446" s="12" t="s">
        <v>390</v>
      </c>
    </row>
    <row r="447" spans="1:9" x14ac:dyDescent="0.55000000000000004">
      <c r="A447">
        <v>2015</v>
      </c>
      <c r="B447" t="s">
        <v>146</v>
      </c>
      <c r="C447" t="s">
        <v>177</v>
      </c>
      <c r="D447" t="s">
        <v>178</v>
      </c>
      <c r="E447">
        <v>89.9</v>
      </c>
      <c r="F447">
        <v>82.6</v>
      </c>
      <c r="G447" s="11" t="str" cm="1">
        <f t="array" ref="G447">TRIM(RemoveSpecial(D447))</f>
        <v>Bachelor of Science (Major in Hospitality Management)</v>
      </c>
      <c r="H447" s="11" t="e">
        <f>VLOOKUP(G447,'course-cluster'!$A$2:$C$137,3, FALSE)</f>
        <v>#N/A</v>
      </c>
      <c r="I447" s="12" t="s">
        <v>219</v>
      </c>
    </row>
    <row r="448" spans="1:9" x14ac:dyDescent="0.55000000000000004">
      <c r="A448">
        <v>2017</v>
      </c>
      <c r="B448" t="s">
        <v>12</v>
      </c>
      <c r="C448" t="s">
        <v>40</v>
      </c>
      <c r="D448" t="s">
        <v>276</v>
      </c>
      <c r="E448">
        <v>89.7</v>
      </c>
      <c r="F448">
        <v>79.5</v>
      </c>
      <c r="G448" s="11" t="str" cm="1">
        <f t="array" ref="G448">TRIM(RemoveSpecial(D448))</f>
        <v>Bachelor of Science (Hons) in Mathematical Sciences</v>
      </c>
      <c r="H448" s="11" t="str">
        <f>VLOOKUP(G448,'course-cluster'!$A$2:$C$137,3, FALSE)</f>
        <v>Sciences</v>
      </c>
      <c r="I448" s="12" t="s">
        <v>390</v>
      </c>
    </row>
    <row r="449" spans="1:9" x14ac:dyDescent="0.55000000000000004">
      <c r="A449">
        <v>2018</v>
      </c>
      <c r="B449" t="s">
        <v>53</v>
      </c>
      <c r="C449" t="s">
        <v>96</v>
      </c>
      <c r="D449" t="s">
        <v>100</v>
      </c>
      <c r="E449">
        <v>87.3</v>
      </c>
      <c r="F449">
        <v>72.8</v>
      </c>
      <c r="G449" s="11" t="str" cm="1">
        <f t="array" ref="G449">TRIM(RemoveSpecial(D449))</f>
        <v>Bachelor of Science (Hons)</v>
      </c>
      <c r="H449" s="11" t="str">
        <f>VLOOKUP(G449,'course-cluster'!$A$2:$C$137,3, FALSE)</f>
        <v>Sciences</v>
      </c>
      <c r="I449" s="12" t="s">
        <v>390</v>
      </c>
    </row>
    <row r="450" spans="1:9" x14ac:dyDescent="0.55000000000000004">
      <c r="A450">
        <v>2014</v>
      </c>
      <c r="B450" t="s">
        <v>53</v>
      </c>
      <c r="C450" t="s">
        <v>96</v>
      </c>
      <c r="D450" t="s">
        <v>100</v>
      </c>
      <c r="E450">
        <v>86.6</v>
      </c>
      <c r="F450">
        <v>75.8</v>
      </c>
      <c r="G450" s="11" t="str" cm="1">
        <f t="array" ref="G450">TRIM(RemoveSpecial(D450))</f>
        <v>Bachelor of Science (Hons)</v>
      </c>
      <c r="H450" s="11" t="str">
        <f>VLOOKUP(G450,'course-cluster'!$A$2:$C$137,3, FALSE)</f>
        <v>Sciences</v>
      </c>
      <c r="I450" s="12" t="s">
        <v>390</v>
      </c>
    </row>
    <row r="451" spans="1:9" x14ac:dyDescent="0.55000000000000004">
      <c r="A451">
        <v>2017</v>
      </c>
      <c r="B451" t="s">
        <v>53</v>
      </c>
      <c r="C451" t="s">
        <v>96</v>
      </c>
      <c r="D451" t="s">
        <v>100</v>
      </c>
      <c r="E451">
        <v>85.9</v>
      </c>
      <c r="F451">
        <v>69.3</v>
      </c>
      <c r="G451" s="11" t="str" cm="1">
        <f t="array" ref="G451">TRIM(RemoveSpecial(D451))</f>
        <v>Bachelor of Science (Hons)</v>
      </c>
      <c r="H451" s="11" t="str">
        <f>VLOOKUP(G451,'course-cluster'!$A$2:$C$137,3, FALSE)</f>
        <v>Sciences</v>
      </c>
      <c r="I451" s="12" t="s">
        <v>390</v>
      </c>
    </row>
    <row r="452" spans="1:9" x14ac:dyDescent="0.55000000000000004">
      <c r="A452">
        <v>2014</v>
      </c>
      <c r="B452" t="s">
        <v>146</v>
      </c>
      <c r="C452" t="s">
        <v>177</v>
      </c>
      <c r="D452" t="s">
        <v>178</v>
      </c>
      <c r="E452">
        <v>88.8</v>
      </c>
      <c r="F452">
        <v>78</v>
      </c>
      <c r="G452" s="11" t="str" cm="1">
        <f t="array" ref="G452">TRIM(RemoveSpecial(D452))</f>
        <v>Bachelor of Science (Major in Hospitality Management)</v>
      </c>
      <c r="H452" s="11" t="e">
        <f>VLOOKUP(G452,'course-cluster'!$A$2:$C$137,3, FALSE)</f>
        <v>#N/A</v>
      </c>
      <c r="I452" s="12" t="s">
        <v>219</v>
      </c>
    </row>
    <row r="453" spans="1:9" x14ac:dyDescent="0.55000000000000004">
      <c r="A453">
        <v>2016</v>
      </c>
      <c r="B453" t="s">
        <v>53</v>
      </c>
      <c r="C453" t="s">
        <v>96</v>
      </c>
      <c r="D453" t="s">
        <v>100</v>
      </c>
      <c r="E453">
        <v>84.9</v>
      </c>
      <c r="F453">
        <v>71.7</v>
      </c>
      <c r="G453" s="11" t="str" cm="1">
        <f t="array" ref="G453">TRIM(RemoveSpecial(D453))</f>
        <v>Bachelor of Science (Hons)</v>
      </c>
      <c r="H453" s="11" t="str">
        <f>VLOOKUP(G453,'course-cluster'!$A$2:$C$137,3, FALSE)</f>
        <v>Sciences</v>
      </c>
      <c r="I453" s="12" t="s">
        <v>390</v>
      </c>
    </row>
    <row r="454" spans="1:9" x14ac:dyDescent="0.55000000000000004">
      <c r="A454">
        <v>2015</v>
      </c>
      <c r="B454" t="s">
        <v>53</v>
      </c>
      <c r="C454" t="s">
        <v>96</v>
      </c>
      <c r="D454" t="s">
        <v>99</v>
      </c>
      <c r="E454">
        <v>84.3</v>
      </c>
      <c r="F454">
        <v>64.2</v>
      </c>
      <c r="G454" s="11" t="str" cm="1">
        <f t="array" ref="G454">TRIM(RemoveSpecial(D454))</f>
        <v>Bachelor of Science</v>
      </c>
      <c r="H454" s="11" t="str">
        <f>VLOOKUP(G454,'course-cluster'!$A$2:$C$137,3, FALSE)</f>
        <v>Sciences</v>
      </c>
      <c r="I454" s="12" t="s">
        <v>390</v>
      </c>
    </row>
    <row r="455" spans="1:9" x14ac:dyDescent="0.55000000000000004">
      <c r="A455">
        <v>2016</v>
      </c>
      <c r="B455" t="s">
        <v>53</v>
      </c>
      <c r="C455" t="s">
        <v>96</v>
      </c>
      <c r="D455" t="s">
        <v>99</v>
      </c>
      <c r="E455">
        <v>84.3</v>
      </c>
      <c r="F455">
        <v>59.4</v>
      </c>
      <c r="G455" s="11" t="str" cm="1">
        <f t="array" ref="G455">TRIM(RemoveSpecial(D455))</f>
        <v>Bachelor of Science</v>
      </c>
      <c r="H455" s="11" t="str">
        <f>VLOOKUP(G455,'course-cluster'!$A$2:$C$137,3, FALSE)</f>
        <v>Sciences</v>
      </c>
      <c r="I455" s="12" t="s">
        <v>390</v>
      </c>
    </row>
    <row r="456" spans="1:9" x14ac:dyDescent="0.55000000000000004">
      <c r="A456">
        <v>2015</v>
      </c>
      <c r="B456" t="s">
        <v>53</v>
      </c>
      <c r="C456" t="s">
        <v>96</v>
      </c>
      <c r="D456" t="s">
        <v>100</v>
      </c>
      <c r="E456">
        <v>83.9</v>
      </c>
      <c r="F456">
        <v>76.2</v>
      </c>
      <c r="G456" s="11" t="str" cm="1">
        <f t="array" ref="G456">TRIM(RemoveSpecial(D456))</f>
        <v>Bachelor of Science (Hons)</v>
      </c>
      <c r="H456" s="11" t="str">
        <f>VLOOKUP(G456,'course-cluster'!$A$2:$C$137,3, FALSE)</f>
        <v>Sciences</v>
      </c>
      <c r="I456" s="12" t="s">
        <v>390</v>
      </c>
    </row>
    <row r="457" spans="1:9" x14ac:dyDescent="0.55000000000000004">
      <c r="A457">
        <v>2013</v>
      </c>
      <c r="B457" t="s">
        <v>53</v>
      </c>
      <c r="C457" t="s">
        <v>96</v>
      </c>
      <c r="D457" t="s">
        <v>100</v>
      </c>
      <c r="E457">
        <v>83.6</v>
      </c>
      <c r="F457">
        <v>74</v>
      </c>
      <c r="G457" s="11" t="str" cm="1">
        <f t="array" ref="G457">TRIM(RemoveSpecial(D457))</f>
        <v>Bachelor of Science (Hons)</v>
      </c>
      <c r="H457" s="11" t="str">
        <f>VLOOKUP(G457,'course-cluster'!$A$2:$C$137,3, FALSE)</f>
        <v>Sciences</v>
      </c>
      <c r="I457" s="12" t="s">
        <v>390</v>
      </c>
    </row>
    <row r="458" spans="1:9" x14ac:dyDescent="0.55000000000000004">
      <c r="A458">
        <v>2015</v>
      </c>
      <c r="B458" t="s">
        <v>53</v>
      </c>
      <c r="C458" t="s">
        <v>96</v>
      </c>
      <c r="D458" t="s">
        <v>102</v>
      </c>
      <c r="E458">
        <v>99</v>
      </c>
      <c r="F458">
        <v>97.9</v>
      </c>
      <c r="G458" s="11" t="str" cm="1">
        <f t="array" ref="G458">TRIM(RemoveSpecial(D458))</f>
        <v>Bachelor of Science (Pharmacy) (Hons)</v>
      </c>
      <c r="H458" s="11" t="e">
        <f>VLOOKUP(G458,'course-cluster'!$A$2:$C$137,3, FALSE)</f>
        <v>#N/A</v>
      </c>
      <c r="I458" s="12" t="s">
        <v>384</v>
      </c>
    </row>
    <row r="459" spans="1:9" x14ac:dyDescent="0.55000000000000004">
      <c r="A459">
        <v>2018</v>
      </c>
      <c r="B459" t="s">
        <v>53</v>
      </c>
      <c r="C459" t="s">
        <v>96</v>
      </c>
      <c r="D459" t="s">
        <v>99</v>
      </c>
      <c r="E459">
        <v>81.599999999999994</v>
      </c>
      <c r="F459">
        <v>47.2</v>
      </c>
      <c r="G459" s="11" t="str" cm="1">
        <f t="array" ref="G459">TRIM(RemoveSpecial(D459))</f>
        <v>Bachelor of Science</v>
      </c>
      <c r="H459" s="11" t="str">
        <f>VLOOKUP(G459,'course-cluster'!$A$2:$C$137,3, FALSE)</f>
        <v>Sciences</v>
      </c>
      <c r="I459" s="12" t="s">
        <v>390</v>
      </c>
    </row>
    <row r="460" spans="1:9" x14ac:dyDescent="0.55000000000000004">
      <c r="A460">
        <v>2014</v>
      </c>
      <c r="B460" t="s">
        <v>53</v>
      </c>
      <c r="C460" t="s">
        <v>96</v>
      </c>
      <c r="D460" t="s">
        <v>102</v>
      </c>
      <c r="E460">
        <v>98.9</v>
      </c>
      <c r="F460">
        <v>96.7</v>
      </c>
      <c r="G460" s="11" t="str" cm="1">
        <f t="array" ref="G460">TRIM(RemoveSpecial(D460))</f>
        <v>Bachelor of Science (Pharmacy) (Hons)</v>
      </c>
      <c r="H460" s="11" t="e">
        <f>VLOOKUP(G460,'course-cluster'!$A$2:$C$137,3, FALSE)</f>
        <v>#N/A</v>
      </c>
      <c r="I460" s="12" t="s">
        <v>384</v>
      </c>
    </row>
    <row r="461" spans="1:9" x14ac:dyDescent="0.55000000000000004">
      <c r="A461">
        <v>2013</v>
      </c>
      <c r="B461" t="s">
        <v>53</v>
      </c>
      <c r="C461" t="s">
        <v>96</v>
      </c>
      <c r="D461" t="s">
        <v>99</v>
      </c>
      <c r="E461">
        <v>80.900000000000006</v>
      </c>
      <c r="F461">
        <v>65.099999999999994</v>
      </c>
      <c r="G461" s="11" t="str" cm="1">
        <f t="array" ref="G461">TRIM(RemoveSpecial(D461))</f>
        <v>Bachelor of Science</v>
      </c>
      <c r="H461" s="11" t="str">
        <f>VLOOKUP(G461,'course-cluster'!$A$2:$C$137,3, FALSE)</f>
        <v>Sciences</v>
      </c>
      <c r="I461" s="12" t="s">
        <v>390</v>
      </c>
    </row>
    <row r="462" spans="1:9" x14ac:dyDescent="0.55000000000000004">
      <c r="A462">
        <v>2017</v>
      </c>
      <c r="B462" t="s">
        <v>12</v>
      </c>
      <c r="C462" t="s">
        <v>40</v>
      </c>
      <c r="D462" t="s">
        <v>274</v>
      </c>
      <c r="E462">
        <v>80.400000000000006</v>
      </c>
      <c r="F462">
        <v>62.6</v>
      </c>
      <c r="G462" s="11" t="str" cm="1">
        <f t="array" ref="G462">TRIM(RemoveSpecial(D462))</f>
        <v>Bachelor of Science (Hons) in Biological Sciences</v>
      </c>
      <c r="H462" s="11" t="str">
        <f>VLOOKUP(G462,'course-cluster'!$A$2:$C$137,3, FALSE)</f>
        <v>Sciences</v>
      </c>
      <c r="I462" s="12" t="s">
        <v>390</v>
      </c>
    </row>
    <row r="463" spans="1:9" x14ac:dyDescent="0.55000000000000004">
      <c r="A463">
        <v>2017</v>
      </c>
      <c r="B463" t="s">
        <v>53</v>
      </c>
      <c r="C463" t="s">
        <v>96</v>
      </c>
      <c r="D463" t="s">
        <v>99</v>
      </c>
      <c r="E463">
        <v>76.900000000000006</v>
      </c>
      <c r="F463">
        <v>54.5</v>
      </c>
      <c r="G463" s="11" t="str" cm="1">
        <f t="array" ref="G463">TRIM(RemoveSpecial(D463))</f>
        <v>Bachelor of Science</v>
      </c>
      <c r="H463" s="11" t="str">
        <f>VLOOKUP(G463,'course-cluster'!$A$2:$C$137,3, FALSE)</f>
        <v>Sciences</v>
      </c>
      <c r="I463" s="12" t="s">
        <v>390</v>
      </c>
    </row>
    <row r="464" spans="1:9" x14ac:dyDescent="0.55000000000000004">
      <c r="A464">
        <v>2014</v>
      </c>
      <c r="B464" t="s">
        <v>53</v>
      </c>
      <c r="C464" t="s">
        <v>96</v>
      </c>
      <c r="D464" t="s">
        <v>99</v>
      </c>
      <c r="E464">
        <v>76.8</v>
      </c>
      <c r="F464">
        <v>61.4</v>
      </c>
      <c r="G464" s="11" t="str" cm="1">
        <f t="array" ref="G464">TRIM(RemoveSpecial(D464))</f>
        <v>Bachelor of Science</v>
      </c>
      <c r="H464" s="11" t="str">
        <f>VLOOKUP(G464,'course-cluster'!$A$2:$C$137,3, FALSE)</f>
        <v>Sciences</v>
      </c>
      <c r="I464" s="12" t="s">
        <v>390</v>
      </c>
    </row>
    <row r="465" spans="1:9" x14ac:dyDescent="0.55000000000000004">
      <c r="A465">
        <v>2019</v>
      </c>
      <c r="B465" t="s">
        <v>53</v>
      </c>
      <c r="C465" t="s">
        <v>96</v>
      </c>
      <c r="D465" t="s">
        <v>452</v>
      </c>
      <c r="E465">
        <v>88.5</v>
      </c>
      <c r="F465">
        <v>72.3</v>
      </c>
      <c r="G465" s="11" t="str" cm="1">
        <f t="array" ref="G465">TRIM(RemoveSpecial(D465))</f>
        <v>Bachelor of Science (Hons)</v>
      </c>
      <c r="H465" s="11" t="str">
        <f>VLOOKUP(G465,'course-cluster'!$A$2:$C$137,3, FALSE)</f>
        <v>Sciences</v>
      </c>
      <c r="I465" s="12" t="s">
        <v>390</v>
      </c>
    </row>
    <row r="466" spans="1:9" x14ac:dyDescent="0.55000000000000004">
      <c r="A466">
        <v>2019</v>
      </c>
      <c r="B466" t="s">
        <v>53</v>
      </c>
      <c r="C466" t="s">
        <v>96</v>
      </c>
      <c r="D466" t="s">
        <v>451</v>
      </c>
      <c r="E466">
        <v>84</v>
      </c>
      <c r="F466">
        <v>59.3</v>
      </c>
      <c r="G466" s="11" t="str" cm="1">
        <f t="array" ref="G466">TRIM(RemoveSpecial(D466))</f>
        <v>Bachelor of Science</v>
      </c>
      <c r="H466" s="11" t="str">
        <f>VLOOKUP(G466,'course-cluster'!$A$2:$C$137,3, FALSE)</f>
        <v>Sciences</v>
      </c>
      <c r="I466" s="12" t="s">
        <v>390</v>
      </c>
    </row>
    <row r="467" spans="1:9" x14ac:dyDescent="0.55000000000000004">
      <c r="A467">
        <v>2013</v>
      </c>
      <c r="B467" t="s">
        <v>53</v>
      </c>
      <c r="C467" t="s">
        <v>96</v>
      </c>
      <c r="D467" t="s">
        <v>102</v>
      </c>
      <c r="E467">
        <v>96.4</v>
      </c>
      <c r="F467">
        <v>96.4</v>
      </c>
      <c r="G467" s="11" t="str" cm="1">
        <f t="array" ref="G467">TRIM(RemoveSpecial(D467))</f>
        <v>Bachelor of Science (Pharmacy) (Hons)</v>
      </c>
      <c r="H467" s="11" t="e">
        <f>VLOOKUP(G467,'course-cluster'!$A$2:$C$137,3, FALSE)</f>
        <v>#N/A</v>
      </c>
      <c r="I467" s="12" t="s">
        <v>384</v>
      </c>
    </row>
    <row r="468" spans="1:9" x14ac:dyDescent="0.55000000000000004">
      <c r="A468">
        <v>2016</v>
      </c>
      <c r="B468" t="s">
        <v>53</v>
      </c>
      <c r="C468" t="s">
        <v>96</v>
      </c>
      <c r="D468" t="s">
        <v>228</v>
      </c>
      <c r="E468">
        <v>99.1</v>
      </c>
      <c r="F468">
        <v>97.2</v>
      </c>
      <c r="G468" s="11" t="str" cm="1">
        <f t="array" ref="G468">TRIM(RemoveSpecial(D468))</f>
        <v>Bachelor of Science (Pharmacy)(Hons)</v>
      </c>
      <c r="H468" s="11" t="e">
        <f>VLOOKUP(G468,'course-cluster'!$A$2:$C$137,3, FALSE)</f>
        <v>#N/A</v>
      </c>
      <c r="I468" s="12" t="s">
        <v>384</v>
      </c>
    </row>
    <row r="469" spans="1:9" x14ac:dyDescent="0.55000000000000004">
      <c r="A469">
        <v>2019</v>
      </c>
      <c r="B469" t="s">
        <v>53</v>
      </c>
      <c r="C469" t="s">
        <v>96</v>
      </c>
      <c r="D469" t="s">
        <v>454</v>
      </c>
      <c r="E469">
        <v>100</v>
      </c>
      <c r="F469">
        <v>95.5</v>
      </c>
      <c r="G469" s="11" t="str" cm="1">
        <f t="array" ref="G469">TRIM(RemoveSpecial(D469))</f>
        <v>Bachelor of Science (Pharmacy)6</v>
      </c>
      <c r="H469" s="11" t="e">
        <f>VLOOKUP(G469,'course-cluster'!$A$2:$C$137,3, FALSE)</f>
        <v>#N/A</v>
      </c>
      <c r="I469" s="12" t="s">
        <v>384</v>
      </c>
    </row>
    <row r="470" spans="1:9" x14ac:dyDescent="0.55000000000000004">
      <c r="A470">
        <v>2014</v>
      </c>
      <c r="B470" t="s">
        <v>146</v>
      </c>
      <c r="C470" t="s">
        <v>147</v>
      </c>
      <c r="D470" t="s">
        <v>150</v>
      </c>
      <c r="E470">
        <v>100</v>
      </c>
      <c r="F470">
        <v>100</v>
      </c>
      <c r="G470" s="11" t="str" cm="1">
        <f t="array" ref="G470">TRIM(RemoveSpecial(D470))</f>
        <v>Bachelor of Science in Computer Science Game Design</v>
      </c>
      <c r="H470" s="11" t="e">
        <f>VLOOKUP(G470,'course-cluster'!$A$2:$C$137,3, FALSE)</f>
        <v>#N/A</v>
      </c>
      <c r="I470" s="12" t="s">
        <v>409</v>
      </c>
    </row>
    <row r="471" spans="1:9" x14ac:dyDescent="0.55000000000000004">
      <c r="A471">
        <v>2017</v>
      </c>
      <c r="B471" t="s">
        <v>146</v>
      </c>
      <c r="C471" t="s">
        <v>147</v>
      </c>
      <c r="D471" t="s">
        <v>295</v>
      </c>
      <c r="E471">
        <v>100</v>
      </c>
      <c r="F471">
        <v>100</v>
      </c>
      <c r="G471" s="11" t="str" cm="1">
        <f t="array" ref="G471">TRIM(RemoveSpecial(D471))</f>
        <v>Bachelor of Science in Computer Science Game Design</v>
      </c>
      <c r="H471" s="11" t="e">
        <f>VLOOKUP(G471,'course-cluster'!$A$2:$C$137,3, FALSE)</f>
        <v>#N/A</v>
      </c>
      <c r="I471" s="12" t="s">
        <v>409</v>
      </c>
    </row>
    <row r="472" spans="1:9" x14ac:dyDescent="0.55000000000000004">
      <c r="A472">
        <v>2016</v>
      </c>
      <c r="B472" t="s">
        <v>146</v>
      </c>
      <c r="C472" t="s">
        <v>147</v>
      </c>
      <c r="D472" t="s">
        <v>150</v>
      </c>
      <c r="E472">
        <v>85.7</v>
      </c>
      <c r="F472">
        <v>85.7</v>
      </c>
      <c r="G472" s="11" t="str" cm="1">
        <f t="array" ref="G472">TRIM(RemoveSpecial(D472))</f>
        <v>Bachelor of Science in Computer Science Game Design</v>
      </c>
      <c r="H472" s="11" t="e">
        <f>VLOOKUP(G472,'course-cluster'!$A$2:$C$137,3, FALSE)</f>
        <v>#N/A</v>
      </c>
      <c r="I472" s="12" t="s">
        <v>409</v>
      </c>
    </row>
    <row r="473" spans="1:9" x14ac:dyDescent="0.55000000000000004">
      <c r="A473">
        <v>2014</v>
      </c>
      <c r="B473" t="s">
        <v>146</v>
      </c>
      <c r="C473" t="s">
        <v>147</v>
      </c>
      <c r="D473" t="s">
        <v>151</v>
      </c>
      <c r="E473">
        <v>100</v>
      </c>
      <c r="F473">
        <v>100</v>
      </c>
      <c r="G473" s="11" t="str" cm="1">
        <f t="array" ref="G473">TRIM(RemoveSpecial(D473))</f>
        <v>Bachelor of Science in Computer Science in Real-Time Interactive Simulation</v>
      </c>
      <c r="H473" s="11" t="e">
        <f>VLOOKUP(G473,'course-cluster'!$A$2:$C$137,3, FALSE)</f>
        <v>#N/A</v>
      </c>
      <c r="I473" s="12" t="s">
        <v>409</v>
      </c>
    </row>
    <row r="474" spans="1:9" x14ac:dyDescent="0.55000000000000004">
      <c r="A474">
        <v>2016</v>
      </c>
      <c r="B474" t="s">
        <v>146</v>
      </c>
      <c r="C474" t="s">
        <v>147</v>
      </c>
      <c r="D474" t="s">
        <v>151</v>
      </c>
      <c r="E474">
        <v>100</v>
      </c>
      <c r="F474">
        <v>92.9</v>
      </c>
      <c r="G474" s="11" t="str" cm="1">
        <f t="array" ref="G474">TRIM(RemoveSpecial(D474))</f>
        <v>Bachelor of Science in Computer Science in Real-Time Interactive Simulation</v>
      </c>
      <c r="H474" s="11" t="e">
        <f>VLOOKUP(G474,'course-cluster'!$A$2:$C$137,3, FALSE)</f>
        <v>#N/A</v>
      </c>
      <c r="I474" s="12" t="s">
        <v>409</v>
      </c>
    </row>
    <row r="475" spans="1:9" x14ac:dyDescent="0.55000000000000004">
      <c r="A475">
        <v>2019</v>
      </c>
      <c r="B475" t="s">
        <v>146</v>
      </c>
      <c r="C475" t="s">
        <v>147</v>
      </c>
      <c r="D475" t="s">
        <v>537</v>
      </c>
      <c r="E475">
        <v>100</v>
      </c>
      <c r="F475">
        <v>94.899999999999991</v>
      </c>
      <c r="G475" s="11" t="str" cm="1">
        <f t="array" ref="G475">TRIM(RemoveSpecial(D475))</f>
        <v>Bachelor of Science in Computer Science in Real-Time Interactive Simulation</v>
      </c>
      <c r="H475" s="11" t="e">
        <f>VLOOKUP(G475,'course-cluster'!$A$2:$C$137,3, FALSE)</f>
        <v>#N/A</v>
      </c>
      <c r="I475" s="12" t="s">
        <v>409</v>
      </c>
    </row>
    <row r="476" spans="1:9" x14ac:dyDescent="0.55000000000000004">
      <c r="A476">
        <v>2017</v>
      </c>
      <c r="B476" t="s">
        <v>146</v>
      </c>
      <c r="C476" t="s">
        <v>147</v>
      </c>
      <c r="D476" t="s">
        <v>151</v>
      </c>
      <c r="E476">
        <v>96.9</v>
      </c>
      <c r="F476">
        <v>90.6</v>
      </c>
      <c r="G476" s="11" t="str" cm="1">
        <f t="array" ref="G476">TRIM(RemoveSpecial(D476))</f>
        <v>Bachelor of Science in Computer Science in Real-Time Interactive Simulation</v>
      </c>
      <c r="H476" s="11" t="e">
        <f>VLOOKUP(G476,'course-cluster'!$A$2:$C$137,3, FALSE)</f>
        <v>#N/A</v>
      </c>
      <c r="I476" s="12" t="s">
        <v>409</v>
      </c>
    </row>
    <row r="477" spans="1:9" x14ac:dyDescent="0.55000000000000004">
      <c r="A477">
        <v>2018</v>
      </c>
      <c r="B477" t="s">
        <v>146</v>
      </c>
      <c r="C477" t="s">
        <v>147</v>
      </c>
      <c r="D477" t="s">
        <v>151</v>
      </c>
      <c r="E477">
        <v>96.8</v>
      </c>
      <c r="F477">
        <v>96.8</v>
      </c>
      <c r="G477" s="11" t="str" cm="1">
        <f t="array" ref="G477">TRIM(RemoveSpecial(D477))</f>
        <v>Bachelor of Science in Computer Science in Real-Time Interactive Simulation</v>
      </c>
      <c r="H477" s="11" t="e">
        <f>VLOOKUP(G477,'course-cluster'!$A$2:$C$137,3, FALSE)</f>
        <v>#N/A</v>
      </c>
      <c r="I477" s="12" t="s">
        <v>409</v>
      </c>
    </row>
    <row r="478" spans="1:9" x14ac:dyDescent="0.55000000000000004">
      <c r="A478">
        <v>2015</v>
      </c>
      <c r="B478" t="s">
        <v>146</v>
      </c>
      <c r="C478" t="s">
        <v>147</v>
      </c>
      <c r="D478" t="s">
        <v>151</v>
      </c>
      <c r="E478">
        <v>95.2</v>
      </c>
      <c r="F478">
        <v>90.5</v>
      </c>
      <c r="G478" s="11" t="str" cm="1">
        <f t="array" ref="G478">TRIM(RemoveSpecial(D478))</f>
        <v>Bachelor of Science in Computer Science in Real-Time Interactive Simulation</v>
      </c>
      <c r="H478" s="11" t="e">
        <f>VLOOKUP(G478,'course-cluster'!$A$2:$C$137,3, FALSE)</f>
        <v>#N/A</v>
      </c>
      <c r="I478" s="12" t="s">
        <v>409</v>
      </c>
    </row>
    <row r="479" spans="1:9" x14ac:dyDescent="0.55000000000000004">
      <c r="A479">
        <v>2015</v>
      </c>
      <c r="B479" t="s">
        <v>146</v>
      </c>
      <c r="C479" t="s">
        <v>179</v>
      </c>
      <c r="D479" t="s">
        <v>180</v>
      </c>
      <c r="E479">
        <v>100</v>
      </c>
      <c r="F479">
        <v>96.4</v>
      </c>
      <c r="G479" s="11" t="str" cm="1">
        <f t="array" ref="G479">TRIM(RemoveSpecial(D479))</f>
        <v>Bachelor of Science in Early Childhood Education</v>
      </c>
      <c r="H479" s="11" t="e">
        <f>VLOOKUP(G479,'course-cluster'!$A$2:$C$137,3, FALSE)</f>
        <v>#N/A</v>
      </c>
      <c r="I479" s="12" t="s">
        <v>393</v>
      </c>
    </row>
    <row r="480" spans="1:9" x14ac:dyDescent="0.55000000000000004">
      <c r="A480">
        <v>2018</v>
      </c>
      <c r="B480" t="s">
        <v>146</v>
      </c>
      <c r="C480" t="s">
        <v>179</v>
      </c>
      <c r="D480" t="s">
        <v>180</v>
      </c>
      <c r="E480">
        <v>100</v>
      </c>
      <c r="F480">
        <v>98.2</v>
      </c>
      <c r="G480" s="11" t="str" cm="1">
        <f t="array" ref="G480">TRIM(RemoveSpecial(D480))</f>
        <v>Bachelor of Science in Early Childhood Education</v>
      </c>
      <c r="H480" s="11" t="e">
        <f>VLOOKUP(G480,'course-cluster'!$A$2:$C$137,3, FALSE)</f>
        <v>#N/A</v>
      </c>
      <c r="I480" s="12" t="s">
        <v>393</v>
      </c>
    </row>
    <row r="481" spans="1:9" x14ac:dyDescent="0.55000000000000004">
      <c r="A481">
        <v>2016</v>
      </c>
      <c r="B481" t="s">
        <v>146</v>
      </c>
      <c r="C481" t="s">
        <v>179</v>
      </c>
      <c r="D481" t="s">
        <v>180</v>
      </c>
      <c r="E481">
        <v>98</v>
      </c>
      <c r="F481">
        <v>92</v>
      </c>
      <c r="G481" s="11" t="str" cm="1">
        <f t="array" ref="G481">TRIM(RemoveSpecial(D481))</f>
        <v>Bachelor of Science in Early Childhood Education</v>
      </c>
      <c r="H481" s="11" t="e">
        <f>VLOOKUP(G481,'course-cluster'!$A$2:$C$137,3, FALSE)</f>
        <v>#N/A</v>
      </c>
      <c r="I481" s="12" t="s">
        <v>393</v>
      </c>
    </row>
    <row r="482" spans="1:9" x14ac:dyDescent="0.55000000000000004">
      <c r="A482">
        <v>2014</v>
      </c>
      <c r="B482" t="s">
        <v>146</v>
      </c>
      <c r="C482" t="s">
        <v>179</v>
      </c>
      <c r="D482" t="s">
        <v>180</v>
      </c>
      <c r="E482">
        <v>97.1</v>
      </c>
      <c r="F482">
        <v>97.1</v>
      </c>
      <c r="G482" s="11" t="str" cm="1">
        <f t="array" ref="G482">TRIM(RemoveSpecial(D482))</f>
        <v>Bachelor of Science in Early Childhood Education</v>
      </c>
      <c r="H482" s="11" t="e">
        <f>VLOOKUP(G482,'course-cluster'!$A$2:$C$137,3, FALSE)</f>
        <v>#N/A</v>
      </c>
      <c r="I482" s="12" t="s">
        <v>393</v>
      </c>
    </row>
    <row r="483" spans="1:9" x14ac:dyDescent="0.55000000000000004">
      <c r="A483">
        <v>2017</v>
      </c>
      <c r="B483" t="s">
        <v>146</v>
      </c>
      <c r="C483" t="s">
        <v>179</v>
      </c>
      <c r="D483" t="s">
        <v>180</v>
      </c>
      <c r="E483">
        <v>96.4</v>
      </c>
      <c r="F483">
        <v>92.9</v>
      </c>
      <c r="G483" s="11" t="str" cm="1">
        <f t="array" ref="G483">TRIM(RemoveSpecial(D483))</f>
        <v>Bachelor of Science in Early Childhood Education</v>
      </c>
      <c r="H483" s="11" t="e">
        <f>VLOOKUP(G483,'course-cluster'!$A$2:$C$137,3, FALSE)</f>
        <v>#N/A</v>
      </c>
      <c r="I483" s="12" t="s">
        <v>393</v>
      </c>
    </row>
    <row r="484" spans="1:9" x14ac:dyDescent="0.55000000000000004">
      <c r="A484">
        <v>2015</v>
      </c>
      <c r="B484" t="s">
        <v>146</v>
      </c>
      <c r="C484" t="s">
        <v>162</v>
      </c>
      <c r="D484" t="s">
        <v>164</v>
      </c>
      <c r="E484">
        <v>100</v>
      </c>
      <c r="F484">
        <v>90</v>
      </c>
      <c r="G484" s="11" t="str" cm="1">
        <f t="array" ref="G484">TRIM(RemoveSpecial(D484))</f>
        <v>Bachelor of Science in Electrical Engineering Information Technology</v>
      </c>
      <c r="H484" s="11" t="e">
        <f>VLOOKUP(G484,'course-cluster'!$A$2:$C$137,3, FALSE)</f>
        <v>#N/A</v>
      </c>
      <c r="I484" s="12" t="s">
        <v>372</v>
      </c>
    </row>
    <row r="485" spans="1:9" x14ac:dyDescent="0.55000000000000004">
      <c r="A485">
        <v>2016</v>
      </c>
      <c r="B485" t="s">
        <v>146</v>
      </c>
      <c r="C485" t="s">
        <v>162</v>
      </c>
      <c r="D485" t="s">
        <v>164</v>
      </c>
      <c r="E485">
        <v>90.9</v>
      </c>
      <c r="F485">
        <v>86.4</v>
      </c>
      <c r="G485" s="11" t="str" cm="1">
        <f t="array" ref="G485">TRIM(RemoveSpecial(D485))</f>
        <v>Bachelor of Science in Electrical Engineering Information Technology</v>
      </c>
      <c r="H485" s="11" t="e">
        <f>VLOOKUP(G485,'course-cluster'!$A$2:$C$137,3, FALSE)</f>
        <v>#N/A</v>
      </c>
      <c r="I485" s="12" t="s">
        <v>372</v>
      </c>
    </row>
    <row r="486" spans="1:9" x14ac:dyDescent="0.55000000000000004">
      <c r="A486">
        <v>2014</v>
      </c>
      <c r="B486" t="s">
        <v>146</v>
      </c>
      <c r="C486" t="s">
        <v>162</v>
      </c>
      <c r="D486" t="s">
        <v>164</v>
      </c>
      <c r="E486">
        <v>85.7</v>
      </c>
      <c r="F486">
        <v>82.1</v>
      </c>
      <c r="G486" s="11" t="str" cm="1">
        <f t="array" ref="G486">TRIM(RemoveSpecial(D486))</f>
        <v>Bachelor of Science in Electrical Engineering Information Technology</v>
      </c>
      <c r="H486" s="11" t="e">
        <f>VLOOKUP(G486,'course-cluster'!$A$2:$C$137,3, FALSE)</f>
        <v>#N/A</v>
      </c>
      <c r="I486" s="12" t="s">
        <v>372</v>
      </c>
    </row>
    <row r="487" spans="1:9" x14ac:dyDescent="0.55000000000000004">
      <c r="A487">
        <v>2018</v>
      </c>
      <c r="B487" t="s">
        <v>146</v>
      </c>
      <c r="C487" t="s">
        <v>162</v>
      </c>
      <c r="D487" t="s">
        <v>164</v>
      </c>
      <c r="E487">
        <v>83.3</v>
      </c>
      <c r="F487">
        <v>69.400000000000006</v>
      </c>
      <c r="G487" s="11" t="str" cm="1">
        <f t="array" ref="G487">TRIM(RemoveSpecial(D487))</f>
        <v>Bachelor of Science in Electrical Engineering Information Technology</v>
      </c>
      <c r="H487" s="11" t="e">
        <f>VLOOKUP(G487,'course-cluster'!$A$2:$C$137,3, FALSE)</f>
        <v>#N/A</v>
      </c>
      <c r="I487" s="12" t="s">
        <v>372</v>
      </c>
    </row>
    <row r="488" spans="1:9" x14ac:dyDescent="0.55000000000000004">
      <c r="A488">
        <v>2017</v>
      </c>
      <c r="B488" t="s">
        <v>146</v>
      </c>
      <c r="C488" t="s">
        <v>162</v>
      </c>
      <c r="D488" t="s">
        <v>164</v>
      </c>
      <c r="E488">
        <v>82.8</v>
      </c>
      <c r="F488">
        <v>82.8</v>
      </c>
      <c r="G488" s="11" t="str" cm="1">
        <f t="array" ref="G488">TRIM(RemoveSpecial(D488))</f>
        <v>Bachelor of Science in Electrical Engineering Information Technology</v>
      </c>
      <c r="H488" s="11" t="e">
        <f>VLOOKUP(G488,'course-cluster'!$A$2:$C$137,3, FALSE)</f>
        <v>#N/A</v>
      </c>
      <c r="I488" s="12" t="s">
        <v>372</v>
      </c>
    </row>
    <row r="489" spans="1:9" x14ac:dyDescent="0.55000000000000004">
      <c r="A489">
        <v>2019</v>
      </c>
      <c r="B489" t="s">
        <v>53</v>
      </c>
      <c r="C489" t="s">
        <v>289</v>
      </c>
      <c r="D489" t="s">
        <v>472</v>
      </c>
      <c r="E489">
        <v>94.699999999999989</v>
      </c>
      <c r="F489">
        <v>89.5</v>
      </c>
      <c r="G489" s="11" t="str" cm="1">
        <f t="array" ref="G489">TRIM(RemoveSpecial(D489))</f>
        <v>Bachelor of Science with Honours</v>
      </c>
      <c r="H489" s="11" t="e">
        <f>VLOOKUP(G489,'course-cluster'!$A$2:$C$137,3, FALSE)</f>
        <v>#N/A</v>
      </c>
      <c r="I489" s="12" t="s">
        <v>390</v>
      </c>
    </row>
    <row r="490" spans="1:9" x14ac:dyDescent="0.55000000000000004">
      <c r="A490">
        <v>2017</v>
      </c>
      <c r="B490" t="s">
        <v>53</v>
      </c>
      <c r="C490" t="s">
        <v>289</v>
      </c>
      <c r="D490" t="s">
        <v>291</v>
      </c>
      <c r="E490">
        <v>91.7</v>
      </c>
      <c r="F490">
        <v>75</v>
      </c>
      <c r="G490" s="11" t="str" cm="1">
        <f t="array" ref="G490">TRIM(RemoveSpecial(D490))</f>
        <v>Bachelor of Science with Honours</v>
      </c>
      <c r="H490" s="11" t="e">
        <f>VLOOKUP(G490,'course-cluster'!$A$2:$C$137,3, FALSE)</f>
        <v>#N/A</v>
      </c>
      <c r="I490" s="12" t="s">
        <v>390</v>
      </c>
    </row>
    <row r="491" spans="1:9" x14ac:dyDescent="0.55000000000000004">
      <c r="A491">
        <v>2018</v>
      </c>
      <c r="B491" t="s">
        <v>53</v>
      </c>
      <c r="C491" t="s">
        <v>289</v>
      </c>
      <c r="D491" t="s">
        <v>324</v>
      </c>
      <c r="E491">
        <v>89.5</v>
      </c>
      <c r="F491">
        <v>78.900000000000006</v>
      </c>
      <c r="G491" s="11" t="str" cm="1">
        <f t="array" ref="G491">TRIM(RemoveSpecial(D491))</f>
        <v>Bachelor of Science with Honours</v>
      </c>
      <c r="H491" s="11" t="e">
        <f>VLOOKUP(G491,'course-cluster'!$A$2:$C$137,3, FALSE)</f>
        <v>#N/A</v>
      </c>
      <c r="I491" s="12" t="s">
        <v>390</v>
      </c>
    </row>
    <row r="492" spans="1:9" x14ac:dyDescent="0.55000000000000004">
      <c r="A492">
        <v>2018</v>
      </c>
      <c r="B492" t="s">
        <v>146</v>
      </c>
      <c r="C492" t="s">
        <v>155</v>
      </c>
      <c r="D492" t="s">
        <v>329</v>
      </c>
      <c r="E492">
        <v>90.4</v>
      </c>
      <c r="F492">
        <v>69.2</v>
      </c>
      <c r="G492" s="11" t="str" cm="1">
        <f t="array" ref="G492">TRIM(RemoveSpecial(D492))</f>
        <v>Bachelor of Science with Honours in Food and Human Nutrition</v>
      </c>
      <c r="H492" s="11" t="e">
        <f>VLOOKUP(G492,'course-cluster'!$A$2:$C$137,3, FALSE)</f>
        <v>#N/A</v>
      </c>
      <c r="I492" s="12" t="s">
        <v>372</v>
      </c>
    </row>
    <row r="493" spans="1:9" x14ac:dyDescent="0.55000000000000004">
      <c r="A493">
        <v>2017</v>
      </c>
      <c r="B493" t="s">
        <v>146</v>
      </c>
      <c r="C493" t="s">
        <v>155</v>
      </c>
      <c r="D493" t="s">
        <v>161</v>
      </c>
      <c r="E493">
        <v>97.7</v>
      </c>
      <c r="F493">
        <v>79.099999999999994</v>
      </c>
      <c r="G493" s="11" t="str" cm="1">
        <f t="array" ref="G493">TRIM(RemoveSpecial(D493))</f>
        <v>Bachelor of Science with Honours in Food Human Nutrition</v>
      </c>
      <c r="H493" s="11" t="e">
        <f>VLOOKUP(G493,'course-cluster'!$A$2:$C$137,3, FALSE)</f>
        <v>#N/A</v>
      </c>
      <c r="I493" s="12" t="s">
        <v>372</v>
      </c>
    </row>
    <row r="494" spans="1:9" x14ac:dyDescent="0.55000000000000004">
      <c r="A494">
        <v>2015</v>
      </c>
      <c r="B494" t="s">
        <v>146</v>
      </c>
      <c r="C494" t="s">
        <v>155</v>
      </c>
      <c r="D494" t="s">
        <v>161</v>
      </c>
      <c r="E494">
        <v>89.2</v>
      </c>
      <c r="F494">
        <v>81.099999999999994</v>
      </c>
      <c r="G494" s="11" t="str" cm="1">
        <f t="array" ref="G494">TRIM(RemoveSpecial(D494))</f>
        <v>Bachelor of Science with Honours in Food Human Nutrition</v>
      </c>
      <c r="H494" s="11" t="e">
        <f>VLOOKUP(G494,'course-cluster'!$A$2:$C$137,3, FALSE)</f>
        <v>#N/A</v>
      </c>
      <c r="I494" s="12" t="s">
        <v>372</v>
      </c>
    </row>
    <row r="495" spans="1:9" x14ac:dyDescent="0.55000000000000004">
      <c r="A495">
        <v>2016</v>
      </c>
      <c r="B495" t="s">
        <v>146</v>
      </c>
      <c r="C495" t="s">
        <v>155</v>
      </c>
      <c r="D495" t="s">
        <v>161</v>
      </c>
      <c r="E495">
        <v>86.7</v>
      </c>
      <c r="F495">
        <v>62.2</v>
      </c>
      <c r="G495" s="11" t="str" cm="1">
        <f t="array" ref="G495">TRIM(RemoveSpecial(D495))</f>
        <v>Bachelor of Science with Honours in Food Human Nutrition</v>
      </c>
      <c r="H495" s="11" t="e">
        <f>VLOOKUP(G495,'course-cluster'!$A$2:$C$137,3, FALSE)</f>
        <v>#N/A</v>
      </c>
      <c r="I495" s="12" t="s">
        <v>372</v>
      </c>
    </row>
    <row r="496" spans="1:9" x14ac:dyDescent="0.55000000000000004">
      <c r="A496">
        <v>2014</v>
      </c>
      <c r="B496" t="s">
        <v>146</v>
      </c>
      <c r="C496" t="s">
        <v>155</v>
      </c>
      <c r="D496" t="s">
        <v>161</v>
      </c>
      <c r="E496">
        <v>75</v>
      </c>
      <c r="F496">
        <v>61.4</v>
      </c>
      <c r="G496" s="11" t="str" cm="1">
        <f t="array" ref="G496">TRIM(RemoveSpecial(D496))</f>
        <v>Bachelor of Science with Honours in Food Human Nutrition</v>
      </c>
      <c r="H496" s="11" t="e">
        <f>VLOOKUP(G496,'course-cluster'!$A$2:$C$137,3, FALSE)</f>
        <v>#N/A</v>
      </c>
      <c r="I496" s="12" t="s">
        <v>372</v>
      </c>
    </row>
    <row r="497" spans="1:9" x14ac:dyDescent="0.55000000000000004">
      <c r="A497">
        <v>2015</v>
      </c>
      <c r="B497" t="s">
        <v>146</v>
      </c>
      <c r="C497" t="s">
        <v>175</v>
      </c>
      <c r="D497" t="s">
        <v>176</v>
      </c>
      <c r="E497">
        <v>98.3</v>
      </c>
      <c r="F497">
        <v>96.7</v>
      </c>
      <c r="G497" s="11" t="str" cm="1">
        <f t="array" ref="G497">TRIM(RemoveSpecial(D497))</f>
        <v>Bachelor of Science with Honours in Nursing Practice</v>
      </c>
      <c r="H497" s="11" t="e">
        <f>VLOOKUP(G497,'course-cluster'!$A$2:$C$137,3, FALSE)</f>
        <v>#N/A</v>
      </c>
      <c r="I497" s="12" t="s">
        <v>384</v>
      </c>
    </row>
    <row r="498" spans="1:9" x14ac:dyDescent="0.55000000000000004">
      <c r="A498">
        <v>2017</v>
      </c>
      <c r="B498" t="s">
        <v>146</v>
      </c>
      <c r="C498" t="s">
        <v>175</v>
      </c>
      <c r="D498" t="s">
        <v>176</v>
      </c>
      <c r="E498">
        <v>98.2</v>
      </c>
      <c r="F498">
        <v>96.5</v>
      </c>
      <c r="G498" s="11" t="str" cm="1">
        <f t="array" ref="G498">TRIM(RemoveSpecial(D498))</f>
        <v>Bachelor of Science with Honours in Nursing Practice</v>
      </c>
      <c r="H498" s="11" t="e">
        <f>VLOOKUP(G498,'course-cluster'!$A$2:$C$137,3, FALSE)</f>
        <v>#N/A</v>
      </c>
      <c r="I498" s="12" t="s">
        <v>384</v>
      </c>
    </row>
    <row r="499" spans="1:9" x14ac:dyDescent="0.55000000000000004">
      <c r="A499">
        <v>2014</v>
      </c>
      <c r="B499" t="s">
        <v>146</v>
      </c>
      <c r="C499" t="s">
        <v>175</v>
      </c>
      <c r="D499" t="s">
        <v>176</v>
      </c>
      <c r="E499">
        <v>97.2</v>
      </c>
      <c r="F499">
        <v>94.4</v>
      </c>
      <c r="G499" s="11" t="str" cm="1">
        <f t="array" ref="G499">TRIM(RemoveSpecial(D499))</f>
        <v>Bachelor of Science with Honours in Nursing Practice</v>
      </c>
      <c r="H499" s="11" t="e">
        <f>VLOOKUP(G499,'course-cluster'!$A$2:$C$137,3, FALSE)</f>
        <v>#N/A</v>
      </c>
      <c r="I499" s="12" t="s">
        <v>384</v>
      </c>
    </row>
    <row r="500" spans="1:9" x14ac:dyDescent="0.55000000000000004">
      <c r="A500">
        <v>2016</v>
      </c>
      <c r="B500" t="s">
        <v>146</v>
      </c>
      <c r="C500" t="s">
        <v>175</v>
      </c>
      <c r="D500" t="s">
        <v>176</v>
      </c>
      <c r="E500">
        <v>92.7</v>
      </c>
      <c r="F500">
        <v>85.5</v>
      </c>
      <c r="G500" s="11" t="str" cm="1">
        <f t="array" ref="G500">TRIM(RemoveSpecial(D500))</f>
        <v>Bachelor of Science with Honours in Nursing Practice</v>
      </c>
      <c r="H500" s="11" t="e">
        <f>VLOOKUP(G500,'course-cluster'!$A$2:$C$137,3, FALSE)</f>
        <v>#N/A</v>
      </c>
      <c r="I500" s="12" t="s">
        <v>384</v>
      </c>
    </row>
    <row r="501" spans="1:9" x14ac:dyDescent="0.55000000000000004">
      <c r="A501">
        <v>2016</v>
      </c>
      <c r="B501" t="s">
        <v>53</v>
      </c>
      <c r="C501" t="s">
        <v>54</v>
      </c>
      <c r="D501" t="s">
        <v>57</v>
      </c>
      <c r="E501">
        <v>89.5</v>
      </c>
      <c r="F501">
        <v>73.3</v>
      </c>
      <c r="G501" s="11" t="str" cm="1">
        <f t="array" ref="G501">TRIM(RemoveSpecial(D501))</f>
        <v>Bachelor of Social Sciences</v>
      </c>
      <c r="H501" s="11" t="e">
        <f>VLOOKUP(G501,'course-cluster'!$A$2:$C$137,3, FALSE)</f>
        <v>#N/A</v>
      </c>
      <c r="I501" s="12" t="s">
        <v>393</v>
      </c>
    </row>
    <row r="502" spans="1:9" x14ac:dyDescent="0.55000000000000004">
      <c r="A502">
        <v>2014</v>
      </c>
      <c r="B502" t="s">
        <v>53</v>
      </c>
      <c r="C502" t="s">
        <v>54</v>
      </c>
      <c r="D502" t="s">
        <v>57</v>
      </c>
      <c r="E502">
        <v>88.7</v>
      </c>
      <c r="F502">
        <v>80.099999999999994</v>
      </c>
      <c r="G502" s="11" t="str" cm="1">
        <f t="array" ref="G502">TRIM(RemoveSpecial(D502))</f>
        <v>Bachelor of Social Sciences</v>
      </c>
      <c r="H502" s="11" t="e">
        <f>VLOOKUP(G502,'course-cluster'!$A$2:$C$137,3, FALSE)</f>
        <v>#N/A</v>
      </c>
      <c r="I502" s="12" t="s">
        <v>393</v>
      </c>
    </row>
    <row r="503" spans="1:9" x14ac:dyDescent="0.55000000000000004">
      <c r="A503">
        <v>2015</v>
      </c>
      <c r="B503" t="s">
        <v>53</v>
      </c>
      <c r="C503" t="s">
        <v>54</v>
      </c>
      <c r="D503" t="s">
        <v>57</v>
      </c>
      <c r="E503">
        <v>88.6</v>
      </c>
      <c r="F503">
        <v>79.8</v>
      </c>
      <c r="G503" s="11" t="str" cm="1">
        <f t="array" ref="G503">TRIM(RemoveSpecial(D503))</f>
        <v>Bachelor of Social Sciences</v>
      </c>
      <c r="H503" s="11" t="e">
        <f>VLOOKUP(G503,'course-cluster'!$A$2:$C$137,3, FALSE)</f>
        <v>#N/A</v>
      </c>
      <c r="I503" s="12" t="s">
        <v>393</v>
      </c>
    </row>
    <row r="504" spans="1:9" x14ac:dyDescent="0.55000000000000004">
      <c r="A504">
        <v>2017</v>
      </c>
      <c r="B504" t="s">
        <v>53</v>
      </c>
      <c r="C504" t="s">
        <v>54</v>
      </c>
      <c r="D504" t="s">
        <v>57</v>
      </c>
      <c r="E504">
        <v>88.3</v>
      </c>
      <c r="F504">
        <v>74.7</v>
      </c>
      <c r="G504" s="11" t="str" cm="1">
        <f t="array" ref="G504">TRIM(RemoveSpecial(D504))</f>
        <v>Bachelor of Social Sciences</v>
      </c>
      <c r="H504" s="11" t="e">
        <f>VLOOKUP(G504,'course-cluster'!$A$2:$C$137,3, FALSE)</f>
        <v>#N/A</v>
      </c>
      <c r="I504" s="12" t="s">
        <v>393</v>
      </c>
    </row>
    <row r="505" spans="1:9" x14ac:dyDescent="0.55000000000000004">
      <c r="A505">
        <v>2018</v>
      </c>
      <c r="B505" t="s">
        <v>53</v>
      </c>
      <c r="C505" t="s">
        <v>54</v>
      </c>
      <c r="D505" t="s">
        <v>57</v>
      </c>
      <c r="E505">
        <v>88.2</v>
      </c>
      <c r="F505">
        <v>74.5</v>
      </c>
      <c r="G505" s="11" t="str" cm="1">
        <f t="array" ref="G505">TRIM(RemoveSpecial(D505))</f>
        <v>Bachelor of Social Sciences</v>
      </c>
      <c r="H505" s="11" t="e">
        <f>VLOOKUP(G505,'course-cluster'!$A$2:$C$137,3, FALSE)</f>
        <v>#N/A</v>
      </c>
      <c r="I505" s="12" t="s">
        <v>393</v>
      </c>
    </row>
    <row r="506" spans="1:9" x14ac:dyDescent="0.55000000000000004">
      <c r="A506">
        <v>2013</v>
      </c>
      <c r="B506" t="s">
        <v>53</v>
      </c>
      <c r="C506" t="s">
        <v>54</v>
      </c>
      <c r="D506" t="s">
        <v>57</v>
      </c>
      <c r="E506">
        <v>88.1</v>
      </c>
      <c r="F506">
        <v>76.8</v>
      </c>
      <c r="G506" s="11" t="str" cm="1">
        <f t="array" ref="G506">TRIM(RemoveSpecial(D506))</f>
        <v>Bachelor of Social Sciences</v>
      </c>
      <c r="H506" s="11" t="e">
        <f>VLOOKUP(G506,'course-cluster'!$A$2:$C$137,3, FALSE)</f>
        <v>#N/A</v>
      </c>
      <c r="I506" s="12" t="s">
        <v>393</v>
      </c>
    </row>
    <row r="507" spans="1:9" x14ac:dyDescent="0.55000000000000004">
      <c r="A507">
        <v>2019</v>
      </c>
      <c r="B507" t="s">
        <v>53</v>
      </c>
      <c r="C507" t="s">
        <v>54</v>
      </c>
      <c r="D507" t="s">
        <v>57</v>
      </c>
      <c r="E507">
        <v>88</v>
      </c>
      <c r="F507">
        <v>75.900000000000006</v>
      </c>
      <c r="G507" s="11" t="str" cm="1">
        <f t="array" ref="G507">TRIM(RemoveSpecial(D507))</f>
        <v>Bachelor of Social Sciences</v>
      </c>
      <c r="H507" s="11" t="e">
        <f>VLOOKUP(G507,'course-cluster'!$A$2:$C$137,3, FALSE)</f>
        <v>#N/A</v>
      </c>
      <c r="I507" s="12" t="s">
        <v>393</v>
      </c>
    </row>
    <row r="508" spans="1:9" x14ac:dyDescent="0.55000000000000004">
      <c r="A508">
        <v>2013</v>
      </c>
      <c r="B508" t="s">
        <v>12</v>
      </c>
      <c r="C508" t="s">
        <v>18</v>
      </c>
      <c r="D508" t="s">
        <v>20</v>
      </c>
      <c r="E508">
        <v>81.3</v>
      </c>
      <c r="F508">
        <v>68.8</v>
      </c>
      <c r="G508" s="11" t="str" cm="1">
        <f t="array" ref="G508">TRIM(RemoveSpecial(D508))</f>
        <v>Bioengineering</v>
      </c>
      <c r="H508" s="11" t="e">
        <f>VLOOKUP(G508,'course-cluster'!$A$2:$C$137,3, FALSE)</f>
        <v>#N/A</v>
      </c>
      <c r="I508" s="12" t="s">
        <v>372</v>
      </c>
    </row>
    <row r="509" spans="1:9" x14ac:dyDescent="0.55000000000000004">
      <c r="A509">
        <v>2015</v>
      </c>
      <c r="B509" t="s">
        <v>12</v>
      </c>
      <c r="C509" t="s">
        <v>18</v>
      </c>
      <c r="D509" t="s">
        <v>20</v>
      </c>
      <c r="E509">
        <v>92.6</v>
      </c>
      <c r="F509">
        <v>76.5</v>
      </c>
      <c r="G509" s="11" t="str" cm="1">
        <f t="array" ref="G509">TRIM(RemoveSpecial(D509))</f>
        <v>Bioengineering</v>
      </c>
      <c r="H509" s="11" t="e">
        <f>VLOOKUP(G509,'course-cluster'!$A$2:$C$137,3, FALSE)</f>
        <v>#N/A</v>
      </c>
      <c r="I509" s="12" t="s">
        <v>372</v>
      </c>
    </row>
    <row r="510" spans="1:9" x14ac:dyDescent="0.55000000000000004">
      <c r="A510">
        <v>2019</v>
      </c>
      <c r="B510" t="s">
        <v>12</v>
      </c>
      <c r="C510" t="s">
        <v>18</v>
      </c>
      <c r="D510" t="s">
        <v>481</v>
      </c>
      <c r="E510">
        <v>81.3</v>
      </c>
      <c r="F510">
        <v>64.099999999999994</v>
      </c>
      <c r="G510" s="11" t="str" cm="1">
        <f t="array" ref="G510">TRIM(RemoveSpecial(D510))</f>
        <v>Bioengineering</v>
      </c>
      <c r="H510" s="11" t="e">
        <f>VLOOKUP(G510,'course-cluster'!$A$2:$C$137,3, FALSE)</f>
        <v>#N/A</v>
      </c>
      <c r="I510" s="12" t="s">
        <v>372</v>
      </c>
    </row>
    <row r="511" spans="1:9" x14ac:dyDescent="0.55000000000000004">
      <c r="A511">
        <v>2014</v>
      </c>
      <c r="B511" t="s">
        <v>12</v>
      </c>
      <c r="C511" t="s">
        <v>18</v>
      </c>
      <c r="D511" t="s">
        <v>20</v>
      </c>
      <c r="E511">
        <v>79.8</v>
      </c>
      <c r="F511">
        <v>69.7</v>
      </c>
      <c r="G511" s="11" t="str" cm="1">
        <f t="array" ref="G511">TRIM(RemoveSpecial(D511))</f>
        <v>Bioengineering</v>
      </c>
      <c r="H511" s="11" t="e">
        <f>VLOOKUP(G511,'course-cluster'!$A$2:$C$137,3, FALSE)</f>
        <v>#N/A</v>
      </c>
      <c r="I511" s="12" t="s">
        <v>372</v>
      </c>
    </row>
    <row r="512" spans="1:9" x14ac:dyDescent="0.55000000000000004">
      <c r="A512">
        <v>2016</v>
      </c>
      <c r="B512" t="s">
        <v>12</v>
      </c>
      <c r="C512" t="s">
        <v>18</v>
      </c>
      <c r="D512" t="s">
        <v>20</v>
      </c>
      <c r="E512">
        <v>77.8</v>
      </c>
      <c r="F512">
        <v>63.9</v>
      </c>
      <c r="G512" s="11" t="str" cm="1">
        <f t="array" ref="G512">TRIM(RemoveSpecial(D512))</f>
        <v>Bioengineering</v>
      </c>
      <c r="H512" s="11" t="e">
        <f>VLOOKUP(G512,'course-cluster'!$A$2:$C$137,3, FALSE)</f>
        <v>#N/A</v>
      </c>
      <c r="I512" s="12" t="s">
        <v>372</v>
      </c>
    </row>
    <row r="513" spans="1:9" x14ac:dyDescent="0.55000000000000004">
      <c r="A513">
        <v>2018</v>
      </c>
      <c r="B513" t="s">
        <v>12</v>
      </c>
      <c r="C513" t="s">
        <v>18</v>
      </c>
      <c r="D513" t="s">
        <v>20</v>
      </c>
      <c r="E513">
        <v>77.5</v>
      </c>
      <c r="F513">
        <v>66.2</v>
      </c>
      <c r="G513" s="11" t="str" cm="1">
        <f t="array" ref="G513">TRIM(RemoveSpecial(D513))</f>
        <v>Bioengineering</v>
      </c>
      <c r="H513" s="11" t="e">
        <f>VLOOKUP(G513,'course-cluster'!$A$2:$C$137,3, FALSE)</f>
        <v>#N/A</v>
      </c>
      <c r="I513" s="12" t="s">
        <v>372</v>
      </c>
    </row>
    <row r="514" spans="1:9" x14ac:dyDescent="0.55000000000000004">
      <c r="A514">
        <v>2019</v>
      </c>
      <c r="B514" t="s">
        <v>12</v>
      </c>
      <c r="C514" t="s">
        <v>503</v>
      </c>
      <c r="D514" t="s">
        <v>508</v>
      </c>
      <c r="E514">
        <v>81.599999999999994</v>
      </c>
      <c r="F514">
        <v>66.3</v>
      </c>
      <c r="G514" s="11" t="str" cm="1">
        <f t="array" ref="G514">TRIM(RemoveSpecial(D514))</f>
        <v>Biological Sciences</v>
      </c>
      <c r="H514" s="11" t="e">
        <f>VLOOKUP(G514,'course-cluster'!$A$2:$C$137,3, FALSE)</f>
        <v>#N/A</v>
      </c>
      <c r="I514" s="12" t="s">
        <v>390</v>
      </c>
    </row>
    <row r="515" spans="1:9" x14ac:dyDescent="0.55000000000000004">
      <c r="A515">
        <v>2016</v>
      </c>
      <c r="B515" t="s">
        <v>12</v>
      </c>
      <c r="C515" t="s">
        <v>40</v>
      </c>
      <c r="D515" t="s">
        <v>44</v>
      </c>
      <c r="E515">
        <v>80.5</v>
      </c>
      <c r="F515">
        <v>64</v>
      </c>
      <c r="G515" s="11" t="str" cm="1">
        <f t="array" ref="G515">TRIM(RemoveSpecial(D515))</f>
        <v>Biological Sciences</v>
      </c>
      <c r="H515" s="11" t="e">
        <f>VLOOKUP(G515,'course-cluster'!$A$2:$C$137,3, FALSE)</f>
        <v>#N/A</v>
      </c>
      <c r="I515" s="12" t="s">
        <v>390</v>
      </c>
    </row>
    <row r="516" spans="1:9" x14ac:dyDescent="0.55000000000000004">
      <c r="A516">
        <v>2018</v>
      </c>
      <c r="B516" t="s">
        <v>12</v>
      </c>
      <c r="C516" t="s">
        <v>40</v>
      </c>
      <c r="D516" t="s">
        <v>44</v>
      </c>
      <c r="E516">
        <v>80.099999999999994</v>
      </c>
      <c r="F516">
        <v>67</v>
      </c>
      <c r="G516" s="11" t="str" cm="1">
        <f t="array" ref="G516">TRIM(RemoveSpecial(D516))</f>
        <v>Biological Sciences</v>
      </c>
      <c r="H516" s="11" t="e">
        <f>VLOOKUP(G516,'course-cluster'!$A$2:$C$137,3, FALSE)</f>
        <v>#N/A</v>
      </c>
      <c r="I516" s="12" t="s">
        <v>390</v>
      </c>
    </row>
    <row r="517" spans="1:9" x14ac:dyDescent="0.55000000000000004">
      <c r="A517">
        <v>2013</v>
      </c>
      <c r="B517" t="s">
        <v>12</v>
      </c>
      <c r="C517" t="s">
        <v>40</v>
      </c>
      <c r="D517" t="s">
        <v>44</v>
      </c>
      <c r="E517">
        <v>78.599999999999994</v>
      </c>
      <c r="F517">
        <v>68.099999999999994</v>
      </c>
      <c r="G517" s="11" t="str" cm="1">
        <f t="array" ref="G517">TRIM(RemoveSpecial(D517))</f>
        <v>Biological Sciences</v>
      </c>
      <c r="H517" s="11" t="e">
        <f>VLOOKUP(G517,'course-cluster'!$A$2:$C$137,3, FALSE)</f>
        <v>#N/A</v>
      </c>
      <c r="I517" s="12" t="s">
        <v>390</v>
      </c>
    </row>
    <row r="518" spans="1:9" x14ac:dyDescent="0.55000000000000004">
      <c r="A518">
        <v>2014</v>
      </c>
      <c r="B518" t="s">
        <v>12</v>
      </c>
      <c r="C518" t="s">
        <v>40</v>
      </c>
      <c r="D518" t="s">
        <v>44</v>
      </c>
      <c r="E518">
        <v>75.099999999999994</v>
      </c>
      <c r="F518">
        <v>60.8</v>
      </c>
      <c r="G518" s="11" t="str" cm="1">
        <f t="array" ref="G518">TRIM(RemoveSpecial(D518))</f>
        <v>Biological Sciences</v>
      </c>
      <c r="H518" s="11" t="e">
        <f>VLOOKUP(G518,'course-cluster'!$A$2:$C$137,3, FALSE)</f>
        <v>#N/A</v>
      </c>
      <c r="I518" s="12" t="s">
        <v>390</v>
      </c>
    </row>
    <row r="519" spans="1:9" x14ac:dyDescent="0.55000000000000004">
      <c r="A519">
        <v>2015</v>
      </c>
      <c r="B519" t="s">
        <v>12</v>
      </c>
      <c r="C519" t="s">
        <v>40</v>
      </c>
      <c r="D519" t="s">
        <v>44</v>
      </c>
      <c r="E519">
        <v>74.599999999999994</v>
      </c>
      <c r="F519">
        <v>65.3</v>
      </c>
      <c r="G519" s="11" t="str" cm="1">
        <f t="array" ref="G519">TRIM(RemoveSpecial(D519))</f>
        <v>Biological Sciences</v>
      </c>
      <c r="H519" s="11" t="e">
        <f>VLOOKUP(G519,'course-cluster'!$A$2:$C$137,3, FALSE)</f>
        <v>#N/A</v>
      </c>
      <c r="I519" s="12" t="s">
        <v>390</v>
      </c>
    </row>
    <row r="520" spans="1:9" x14ac:dyDescent="0.55000000000000004">
      <c r="A520">
        <v>2014</v>
      </c>
      <c r="B520" t="s">
        <v>12</v>
      </c>
      <c r="C520" t="s">
        <v>40</v>
      </c>
      <c r="D520" t="s">
        <v>123</v>
      </c>
      <c r="E520">
        <v>100</v>
      </c>
      <c r="F520">
        <v>100</v>
      </c>
      <c r="G520" s="11" t="str" cm="1">
        <f t="array" ref="G520">TRIM(RemoveSpecial(D520))</f>
        <v>Biomedical Science (Traditional Chinese Medicine)</v>
      </c>
      <c r="H520" s="11" t="e">
        <f>VLOOKUP(G520,'course-cluster'!$A$2:$C$137,3, FALSE)</f>
        <v>#N/A</v>
      </c>
      <c r="I520" s="12" t="s">
        <v>384</v>
      </c>
    </row>
    <row r="521" spans="1:9" x14ac:dyDescent="0.55000000000000004">
      <c r="A521">
        <v>2015</v>
      </c>
      <c r="B521" t="s">
        <v>12</v>
      </c>
      <c r="C521" t="s">
        <v>40</v>
      </c>
      <c r="D521" t="s">
        <v>123</v>
      </c>
      <c r="E521">
        <v>100</v>
      </c>
      <c r="F521">
        <v>100</v>
      </c>
      <c r="G521" s="11" t="str" cm="1">
        <f t="array" ref="G521">TRIM(RemoveSpecial(D521))</f>
        <v>Biomedical Science (Traditional Chinese Medicine)</v>
      </c>
      <c r="H521" s="11" t="e">
        <f>VLOOKUP(G521,'course-cluster'!$A$2:$C$137,3, FALSE)</f>
        <v>#N/A</v>
      </c>
      <c r="I521" s="12" t="s">
        <v>384</v>
      </c>
    </row>
    <row r="522" spans="1:9" x14ac:dyDescent="0.55000000000000004">
      <c r="A522">
        <v>2013</v>
      </c>
      <c r="B522" t="s">
        <v>12</v>
      </c>
      <c r="C522" t="s">
        <v>40</v>
      </c>
      <c r="D522" t="s">
        <v>43</v>
      </c>
      <c r="E522">
        <v>90.7</v>
      </c>
      <c r="F522">
        <v>88.4</v>
      </c>
      <c r="G522" s="11" t="str" cm="1">
        <f t="array" ref="G522">TRIM(RemoveSpecial(D522))</f>
        <v>Biomedical Sciences (Traditional Chinese Medicine)</v>
      </c>
      <c r="H522" s="11" t="e">
        <f>VLOOKUP(G522,'course-cluster'!$A$2:$C$137,3, FALSE)</f>
        <v>#N/A</v>
      </c>
      <c r="I522" s="12" t="s">
        <v>384</v>
      </c>
    </row>
    <row r="523" spans="1:9" x14ac:dyDescent="0.55000000000000004">
      <c r="A523">
        <v>2016</v>
      </c>
      <c r="B523" t="s">
        <v>12</v>
      </c>
      <c r="C523" t="s">
        <v>40</v>
      </c>
      <c r="D523" t="s">
        <v>223</v>
      </c>
      <c r="E523">
        <v>94.4</v>
      </c>
      <c r="F523">
        <v>88.9</v>
      </c>
      <c r="G523" s="11" t="str" cm="1">
        <f t="array" ref="G523">TRIM(RemoveSpecial(D523))</f>
        <v>Biomedical Sciences Chinese Medicine</v>
      </c>
      <c r="H523" s="11" t="e">
        <f>VLOOKUP(G523,'course-cluster'!$A$2:$C$137,3, FALSE)</f>
        <v>#N/A</v>
      </c>
      <c r="I523" s="12" t="s">
        <v>384</v>
      </c>
    </row>
    <row r="524" spans="1:9" x14ac:dyDescent="0.55000000000000004">
      <c r="A524">
        <v>2018</v>
      </c>
      <c r="B524" t="s">
        <v>12</v>
      </c>
      <c r="C524" t="s">
        <v>40</v>
      </c>
      <c r="D524" t="s">
        <v>312</v>
      </c>
      <c r="E524">
        <v>90.9</v>
      </c>
      <c r="F524">
        <v>81.8</v>
      </c>
      <c r="G524" s="11" t="str" cm="1">
        <f t="array" ref="G524">TRIM(RemoveSpecial(D524))</f>
        <v>Biomedical Sciences Chinese Medicine</v>
      </c>
      <c r="H524" s="11" t="e">
        <f>VLOOKUP(G524,'course-cluster'!$A$2:$C$137,3, FALSE)</f>
        <v>#N/A</v>
      </c>
      <c r="I524" s="12" t="s">
        <v>384</v>
      </c>
    </row>
    <row r="525" spans="1:9" x14ac:dyDescent="0.55000000000000004">
      <c r="A525">
        <v>2019</v>
      </c>
      <c r="B525" t="s">
        <v>12</v>
      </c>
      <c r="C525" t="s">
        <v>503</v>
      </c>
      <c r="D525" t="s">
        <v>509</v>
      </c>
      <c r="E525">
        <v>95.199999999999989</v>
      </c>
      <c r="F525">
        <v>85.7</v>
      </c>
      <c r="G525" s="11" t="str" cm="1">
        <f t="array" ref="G525">TRIM(RemoveSpecial(D525))</f>
        <v>Biomedical Sciences Chinese Medicine6</v>
      </c>
      <c r="H525" s="11" t="e">
        <f>VLOOKUP(G525,'course-cluster'!$A$2:$C$137,3, FALSE)</f>
        <v>#N/A</v>
      </c>
      <c r="I525" s="12" t="s">
        <v>384</v>
      </c>
    </row>
    <row r="526" spans="1:9" x14ac:dyDescent="0.55000000000000004">
      <c r="A526">
        <v>2019</v>
      </c>
      <c r="B526" t="s">
        <v>12</v>
      </c>
      <c r="C526" t="s">
        <v>13</v>
      </c>
      <c r="D526" t="s">
        <v>478</v>
      </c>
      <c r="E526">
        <v>93.8</v>
      </c>
      <c r="F526">
        <v>83.1</v>
      </c>
      <c r="G526" s="11" t="str" cm="1">
        <f t="array" ref="G526">TRIM(RemoveSpecial(D526))</f>
        <v>Business</v>
      </c>
      <c r="H526" s="11" t="e">
        <f>VLOOKUP(G526,'course-cluster'!$A$2:$C$137,3, FALSE)</f>
        <v>#N/A</v>
      </c>
      <c r="I526" s="12" t="s">
        <v>219</v>
      </c>
    </row>
    <row r="527" spans="1:9" x14ac:dyDescent="0.55000000000000004">
      <c r="A527">
        <v>2018</v>
      </c>
      <c r="B527" t="s">
        <v>12</v>
      </c>
      <c r="C527" t="s">
        <v>13</v>
      </c>
      <c r="D527" t="s">
        <v>219</v>
      </c>
      <c r="E527">
        <v>92.6</v>
      </c>
      <c r="F527">
        <v>84.3</v>
      </c>
      <c r="G527" s="11" t="str" cm="1">
        <f t="array" ref="G527">TRIM(RemoveSpecial(D527))</f>
        <v>Business</v>
      </c>
      <c r="H527" s="11" t="e">
        <f>VLOOKUP(G527,'course-cluster'!$A$2:$C$137,3, FALSE)</f>
        <v>#N/A</v>
      </c>
      <c r="I527" s="12" t="s">
        <v>219</v>
      </c>
    </row>
    <row r="528" spans="1:9" x14ac:dyDescent="0.55000000000000004">
      <c r="A528">
        <v>2016</v>
      </c>
      <c r="B528" t="s">
        <v>12</v>
      </c>
      <c r="C528" t="s">
        <v>13</v>
      </c>
      <c r="D528" t="s">
        <v>219</v>
      </c>
      <c r="E528">
        <v>89.6</v>
      </c>
      <c r="F528">
        <v>77.099999999999994</v>
      </c>
      <c r="G528" s="11" t="str" cm="1">
        <f t="array" ref="G528">TRIM(RemoveSpecial(D528))</f>
        <v>Business</v>
      </c>
      <c r="H528" s="11" t="e">
        <f>VLOOKUP(G528,'course-cluster'!$A$2:$C$137,3, FALSE)</f>
        <v>#N/A</v>
      </c>
      <c r="I528" s="12" t="s">
        <v>219</v>
      </c>
    </row>
    <row r="529" spans="1:9" x14ac:dyDescent="0.55000000000000004">
      <c r="A529">
        <v>2013</v>
      </c>
      <c r="B529" t="s">
        <v>12</v>
      </c>
      <c r="C529" t="s">
        <v>13</v>
      </c>
      <c r="D529" t="s">
        <v>16</v>
      </c>
      <c r="E529">
        <v>90.9</v>
      </c>
      <c r="F529">
        <v>85.7</v>
      </c>
      <c r="G529" s="11" t="str" cm="1">
        <f t="array" ref="G529">TRIM(RemoveSpecial(D529))</f>
        <v>Business (3-yr direct Honours Programme)</v>
      </c>
      <c r="H529" s="11" t="e">
        <f>VLOOKUP(G529,'course-cluster'!$A$2:$C$137,3, FALSE)</f>
        <v>#N/A</v>
      </c>
      <c r="I529" s="12" t="s">
        <v>219</v>
      </c>
    </row>
    <row r="530" spans="1:9" x14ac:dyDescent="0.55000000000000004">
      <c r="A530">
        <v>2015</v>
      </c>
      <c r="B530" t="s">
        <v>12</v>
      </c>
      <c r="C530" t="s">
        <v>13</v>
      </c>
      <c r="D530" t="s">
        <v>16</v>
      </c>
      <c r="E530">
        <v>92.2</v>
      </c>
      <c r="F530">
        <v>87.6</v>
      </c>
      <c r="G530" s="11" t="str" cm="1">
        <f t="array" ref="G530">TRIM(RemoveSpecial(D530))</f>
        <v>Business (3-yr direct Honours Programme)</v>
      </c>
      <c r="H530" s="11" t="e">
        <f>VLOOKUP(G530,'course-cluster'!$A$2:$C$137,3, FALSE)</f>
        <v>#N/A</v>
      </c>
      <c r="I530" s="12" t="s">
        <v>219</v>
      </c>
    </row>
    <row r="531" spans="1:9" x14ac:dyDescent="0.55000000000000004">
      <c r="A531">
        <v>2014</v>
      </c>
      <c r="B531" t="s">
        <v>12</v>
      </c>
      <c r="C531" t="s">
        <v>13</v>
      </c>
      <c r="D531" t="s">
        <v>16</v>
      </c>
      <c r="E531">
        <v>89.6</v>
      </c>
      <c r="F531">
        <v>80.2</v>
      </c>
      <c r="G531" s="11" t="str" cm="1">
        <f t="array" ref="G531">TRIM(RemoveSpecial(D531))</f>
        <v>Business (3-yr direct Honours Programme)</v>
      </c>
      <c r="H531" s="11" t="e">
        <f>VLOOKUP(G531,'course-cluster'!$A$2:$C$137,3, FALSE)</f>
        <v>#N/A</v>
      </c>
      <c r="I531" s="12" t="s">
        <v>219</v>
      </c>
    </row>
    <row r="532" spans="1:9" x14ac:dyDescent="0.55000000000000004">
      <c r="A532">
        <v>2015</v>
      </c>
      <c r="B532" t="s">
        <v>12</v>
      </c>
      <c r="C532" t="s">
        <v>13</v>
      </c>
      <c r="D532" t="s">
        <v>17</v>
      </c>
      <c r="E532">
        <v>100</v>
      </c>
      <c r="F532">
        <v>100</v>
      </c>
      <c r="G532" s="11" t="str" cm="1">
        <f t="array" ref="G532">TRIM(RemoveSpecial(D532))</f>
        <v>Business and Computing</v>
      </c>
      <c r="H532" s="11" t="e">
        <f>VLOOKUP(G532,'course-cluster'!$A$2:$C$137,3, FALSE)</f>
        <v>#N/A</v>
      </c>
      <c r="I532" s="12" t="s">
        <v>219</v>
      </c>
    </row>
    <row r="533" spans="1:9" x14ac:dyDescent="0.55000000000000004">
      <c r="A533">
        <v>2018</v>
      </c>
      <c r="B533" t="s">
        <v>12</v>
      </c>
      <c r="C533" t="s">
        <v>13</v>
      </c>
      <c r="D533" t="s">
        <v>303</v>
      </c>
      <c r="E533">
        <v>100</v>
      </c>
      <c r="F533">
        <v>100</v>
      </c>
      <c r="G533" s="11" t="str" cm="1">
        <f t="array" ref="G533">TRIM(RemoveSpecial(D533))</f>
        <v>Business and Computing</v>
      </c>
      <c r="H533" s="11" t="e">
        <f>VLOOKUP(G533,'course-cluster'!$A$2:$C$137,3, FALSE)</f>
        <v>#N/A</v>
      </c>
      <c r="I533" s="12" t="s">
        <v>219</v>
      </c>
    </row>
    <row r="534" spans="1:9" x14ac:dyDescent="0.55000000000000004">
      <c r="A534">
        <v>2013</v>
      </c>
      <c r="B534" t="s">
        <v>12</v>
      </c>
      <c r="C534" t="s">
        <v>13</v>
      </c>
      <c r="D534" t="s">
        <v>17</v>
      </c>
      <c r="E534">
        <v>87.5</v>
      </c>
      <c r="F534">
        <v>87.5</v>
      </c>
      <c r="G534" s="11" t="str" cm="1">
        <f t="array" ref="G534">TRIM(RemoveSpecial(D534))</f>
        <v>Business and Computing</v>
      </c>
      <c r="H534" s="11" t="e">
        <f>VLOOKUP(G534,'course-cluster'!$A$2:$C$137,3, FALSE)</f>
        <v>#N/A</v>
      </c>
      <c r="I534" s="12" t="s">
        <v>219</v>
      </c>
    </row>
    <row r="535" spans="1:9" x14ac:dyDescent="0.55000000000000004">
      <c r="A535">
        <v>2016</v>
      </c>
      <c r="B535" t="s">
        <v>12</v>
      </c>
      <c r="C535" t="s">
        <v>13</v>
      </c>
      <c r="D535" t="s">
        <v>17</v>
      </c>
      <c r="E535">
        <v>94.4</v>
      </c>
      <c r="F535">
        <v>94.4</v>
      </c>
      <c r="G535" s="11" t="str" cm="1">
        <f t="array" ref="G535">TRIM(RemoveSpecial(D535))</f>
        <v>Business and Computing</v>
      </c>
      <c r="H535" s="11" t="e">
        <f>VLOOKUP(G535,'course-cluster'!$A$2:$C$137,3, FALSE)</f>
        <v>#N/A</v>
      </c>
      <c r="I535" s="12" t="s">
        <v>219</v>
      </c>
    </row>
    <row r="536" spans="1:9" x14ac:dyDescent="0.55000000000000004">
      <c r="A536">
        <v>2019</v>
      </c>
      <c r="B536" t="s">
        <v>12</v>
      </c>
      <c r="C536" t="s">
        <v>13</v>
      </c>
      <c r="D536" t="s">
        <v>479</v>
      </c>
      <c r="E536">
        <v>94.399999999999991</v>
      </c>
      <c r="F536">
        <v>83.3</v>
      </c>
      <c r="G536" s="11" t="str" cm="1">
        <f t="array" ref="G536">TRIM(RemoveSpecial(D536))</f>
        <v>Business and Computing</v>
      </c>
      <c r="H536" s="11" t="e">
        <f>VLOOKUP(G536,'course-cluster'!$A$2:$C$137,3, FALSE)</f>
        <v>#N/A</v>
      </c>
      <c r="I536" s="12" t="s">
        <v>219</v>
      </c>
    </row>
    <row r="537" spans="1:9" x14ac:dyDescent="0.55000000000000004">
      <c r="A537">
        <v>2014</v>
      </c>
      <c r="B537" t="s">
        <v>12</v>
      </c>
      <c r="C537" t="s">
        <v>13</v>
      </c>
      <c r="D537" t="s">
        <v>17</v>
      </c>
      <c r="E537">
        <v>92.9</v>
      </c>
      <c r="F537">
        <v>89.3</v>
      </c>
      <c r="G537" s="11" t="str" cm="1">
        <f t="array" ref="G537">TRIM(RemoveSpecial(D537))</f>
        <v>Business and Computing</v>
      </c>
      <c r="H537" s="11" t="e">
        <f>VLOOKUP(G537,'course-cluster'!$A$2:$C$137,3, FALSE)</f>
        <v>#N/A</v>
      </c>
      <c r="I537" s="12" t="s">
        <v>219</v>
      </c>
    </row>
    <row r="538" spans="1:9" x14ac:dyDescent="0.55000000000000004">
      <c r="A538">
        <v>2015</v>
      </c>
      <c r="B538" t="s">
        <v>103</v>
      </c>
      <c r="C538" t="s">
        <v>131</v>
      </c>
      <c r="D538" t="s">
        <v>198</v>
      </c>
      <c r="E538">
        <v>93.9</v>
      </c>
      <c r="F538">
        <v>88.2</v>
      </c>
      <c r="G538" s="11" t="str" cm="1">
        <f t="array" ref="G538">TRIM(RemoveSpecial(D538))</f>
        <v>Business Management</v>
      </c>
      <c r="H538" s="11" t="e">
        <f>VLOOKUP(G538,'course-cluster'!$A$2:$C$137,3, FALSE)</f>
        <v>#N/A</v>
      </c>
      <c r="I538" s="12" t="s">
        <v>219</v>
      </c>
    </row>
    <row r="539" spans="1:9" x14ac:dyDescent="0.55000000000000004">
      <c r="A539">
        <v>2017</v>
      </c>
      <c r="B539" t="s">
        <v>103</v>
      </c>
      <c r="C539" t="s">
        <v>107</v>
      </c>
      <c r="D539" t="s">
        <v>198</v>
      </c>
      <c r="E539">
        <v>93.3</v>
      </c>
      <c r="F539">
        <v>85.7</v>
      </c>
      <c r="G539" s="11" t="str" cm="1">
        <f t="array" ref="G539">TRIM(RemoveSpecial(D539))</f>
        <v>Business Management</v>
      </c>
      <c r="H539" s="11" t="e">
        <f>VLOOKUP(G539,'course-cluster'!$A$2:$C$137,3, FALSE)</f>
        <v>#N/A</v>
      </c>
      <c r="I539" s="12" t="s">
        <v>219</v>
      </c>
    </row>
    <row r="540" spans="1:9" x14ac:dyDescent="0.55000000000000004">
      <c r="A540">
        <v>2016</v>
      </c>
      <c r="B540" t="s">
        <v>103</v>
      </c>
      <c r="C540" t="s">
        <v>131</v>
      </c>
      <c r="D540" t="s">
        <v>198</v>
      </c>
      <c r="E540">
        <v>92.4</v>
      </c>
      <c r="F540">
        <v>84.6</v>
      </c>
      <c r="G540" s="11" t="str" cm="1">
        <f t="array" ref="G540">TRIM(RemoveSpecial(D540))</f>
        <v>Business Management</v>
      </c>
      <c r="H540" s="11" t="e">
        <f>VLOOKUP(G540,'course-cluster'!$A$2:$C$137,3, FALSE)</f>
        <v>#N/A</v>
      </c>
      <c r="I540" s="12" t="s">
        <v>219</v>
      </c>
    </row>
    <row r="541" spans="1:9" x14ac:dyDescent="0.55000000000000004">
      <c r="A541">
        <v>2018</v>
      </c>
      <c r="B541" t="s">
        <v>103</v>
      </c>
      <c r="C541" t="s">
        <v>131</v>
      </c>
      <c r="D541" t="s">
        <v>198</v>
      </c>
      <c r="E541">
        <v>91.6</v>
      </c>
      <c r="F541">
        <v>86.5</v>
      </c>
      <c r="G541" s="11" t="str" cm="1">
        <f t="array" ref="G541">TRIM(RemoveSpecial(D541))</f>
        <v>Business Management</v>
      </c>
      <c r="H541" s="11" t="e">
        <f>VLOOKUP(G541,'course-cluster'!$A$2:$C$137,3, FALSE)</f>
        <v>#N/A</v>
      </c>
      <c r="I541" s="12" t="s">
        <v>219</v>
      </c>
    </row>
    <row r="542" spans="1:9" x14ac:dyDescent="0.55000000000000004">
      <c r="A542">
        <v>2019</v>
      </c>
      <c r="B542" t="s">
        <v>103</v>
      </c>
      <c r="C542" t="s">
        <v>516</v>
      </c>
      <c r="D542" t="s">
        <v>521</v>
      </c>
      <c r="E542">
        <v>91</v>
      </c>
      <c r="F542">
        <v>84.8</v>
      </c>
      <c r="G542" s="11" t="str" cm="1">
        <f t="array" ref="G542">TRIM(RemoveSpecial(D542))</f>
        <v>Business Management</v>
      </c>
      <c r="H542" s="11" t="e">
        <f>VLOOKUP(G542,'course-cluster'!$A$2:$C$137,3, FALSE)</f>
        <v>#N/A</v>
      </c>
      <c r="I542" s="12" t="s">
        <v>219</v>
      </c>
    </row>
    <row r="543" spans="1:9" x14ac:dyDescent="0.55000000000000004">
      <c r="A543">
        <v>2014</v>
      </c>
      <c r="B543" t="s">
        <v>103</v>
      </c>
      <c r="C543" t="s">
        <v>131</v>
      </c>
      <c r="D543" t="s">
        <v>132</v>
      </c>
      <c r="E543">
        <v>90.9</v>
      </c>
      <c r="F543">
        <v>86.4</v>
      </c>
      <c r="G543" s="11" t="str" cm="1">
        <f t="array" ref="G543">TRIM(RemoveSpecial(D543))</f>
        <v>Business Management (4-year programme)</v>
      </c>
      <c r="H543" s="11" t="e">
        <f>VLOOKUP(G543,'course-cluster'!$A$2:$C$137,3, FALSE)</f>
        <v>#N/A</v>
      </c>
      <c r="I543" s="12" t="s">
        <v>219</v>
      </c>
    </row>
    <row r="544" spans="1:9" x14ac:dyDescent="0.55000000000000004">
      <c r="A544">
        <v>2014</v>
      </c>
      <c r="B544" t="s">
        <v>103</v>
      </c>
      <c r="C544" t="s">
        <v>131</v>
      </c>
      <c r="D544" t="s">
        <v>133</v>
      </c>
      <c r="E544">
        <v>94.5</v>
      </c>
      <c r="F544">
        <v>94</v>
      </c>
      <c r="G544" s="11" t="str" cm="1">
        <f t="array" ref="G544">TRIM(RemoveSpecial(D544))</f>
        <v>Business Management (4-year programme) Cum Laude and above</v>
      </c>
      <c r="H544" s="11" t="e">
        <f>VLOOKUP(G544,'course-cluster'!$A$2:$C$137,3, FALSE)</f>
        <v>#N/A</v>
      </c>
      <c r="I544" s="12" t="s">
        <v>219</v>
      </c>
    </row>
    <row r="545" spans="1:9" x14ac:dyDescent="0.55000000000000004">
      <c r="A545">
        <v>2013</v>
      </c>
      <c r="B545" t="s">
        <v>103</v>
      </c>
      <c r="C545" t="s">
        <v>107</v>
      </c>
      <c r="D545" t="s">
        <v>108</v>
      </c>
      <c r="E545">
        <v>93.2</v>
      </c>
      <c r="F545">
        <v>87.3</v>
      </c>
      <c r="G545" s="11" t="str" cm="1">
        <f t="array" ref="G545">TRIM(RemoveSpecial(D545))</f>
        <v>Business Management (4-years programme)</v>
      </c>
      <c r="H545" s="11" t="e">
        <f>VLOOKUP(G545,'course-cluster'!$A$2:$C$137,3, FALSE)</f>
        <v>#N/A</v>
      </c>
      <c r="I545" s="12" t="s">
        <v>219</v>
      </c>
    </row>
    <row r="546" spans="1:9" x14ac:dyDescent="0.55000000000000004">
      <c r="A546">
        <v>2013</v>
      </c>
      <c r="B546" t="s">
        <v>103</v>
      </c>
      <c r="C546" t="s">
        <v>107</v>
      </c>
      <c r="D546" t="s">
        <v>109</v>
      </c>
      <c r="E546">
        <v>95.9</v>
      </c>
      <c r="F546">
        <v>93.8</v>
      </c>
      <c r="G546" s="11" t="str" cm="1">
        <f t="array" ref="G546">TRIM(RemoveSpecial(D546))</f>
        <v>Business Management (4-years programme) Cum Laude and above</v>
      </c>
      <c r="H546" s="11" t="e">
        <f>VLOOKUP(G546,'course-cluster'!$A$2:$C$137,3, FALSE)</f>
        <v>#N/A</v>
      </c>
      <c r="I546" s="12" t="s">
        <v>219</v>
      </c>
    </row>
    <row r="547" spans="1:9" x14ac:dyDescent="0.55000000000000004">
      <c r="A547">
        <v>2018</v>
      </c>
      <c r="B547" t="s">
        <v>103</v>
      </c>
      <c r="C547" t="s">
        <v>131</v>
      </c>
      <c r="D547" t="s">
        <v>341</v>
      </c>
      <c r="E547">
        <v>97.4</v>
      </c>
      <c r="F547">
        <v>95.6</v>
      </c>
      <c r="G547" s="11" t="str" cm="1">
        <f t="array" ref="G547">TRIM(RemoveSpecial(D547))</f>
        <v>Business Management (Cum Laude and above)</v>
      </c>
      <c r="H547" s="11" t="e">
        <f>VLOOKUP(G547,'course-cluster'!$A$2:$C$137,3, FALSE)</f>
        <v>#N/A</v>
      </c>
      <c r="I547" s="12" t="s">
        <v>219</v>
      </c>
    </row>
    <row r="548" spans="1:9" x14ac:dyDescent="0.55000000000000004">
      <c r="A548">
        <v>2015</v>
      </c>
      <c r="B548" t="s">
        <v>103</v>
      </c>
      <c r="C548" t="s">
        <v>131</v>
      </c>
      <c r="D548" t="s">
        <v>199</v>
      </c>
      <c r="E548">
        <v>98.3</v>
      </c>
      <c r="F548">
        <v>93.3</v>
      </c>
      <c r="G548" s="11" t="str" cm="1">
        <f t="array" ref="G548">TRIM(RemoveSpecial(D548))</f>
        <v>Business Management Cum Laude and above</v>
      </c>
      <c r="H548" s="11" t="e">
        <f>VLOOKUP(G548,'course-cluster'!$A$2:$C$137,3, FALSE)</f>
        <v>#N/A</v>
      </c>
      <c r="I548" s="12" t="s">
        <v>219</v>
      </c>
    </row>
    <row r="549" spans="1:9" x14ac:dyDescent="0.55000000000000004">
      <c r="A549">
        <v>2016</v>
      </c>
      <c r="B549" t="s">
        <v>103</v>
      </c>
      <c r="C549" t="s">
        <v>131</v>
      </c>
      <c r="D549" t="s">
        <v>199</v>
      </c>
      <c r="E549">
        <v>96.1</v>
      </c>
      <c r="F549">
        <v>92.1</v>
      </c>
      <c r="G549" s="11" t="str" cm="1">
        <f t="array" ref="G549">TRIM(RemoveSpecial(D549))</f>
        <v>Business Management Cum Laude and above</v>
      </c>
      <c r="H549" s="11" t="e">
        <f>VLOOKUP(G549,'course-cluster'!$A$2:$C$137,3, FALSE)</f>
        <v>#N/A</v>
      </c>
      <c r="I549" s="12" t="s">
        <v>219</v>
      </c>
    </row>
    <row r="550" spans="1:9" x14ac:dyDescent="0.55000000000000004">
      <c r="A550">
        <v>2017</v>
      </c>
      <c r="B550" t="s">
        <v>103</v>
      </c>
      <c r="C550" t="s">
        <v>107</v>
      </c>
      <c r="D550" t="s">
        <v>199</v>
      </c>
      <c r="E550">
        <v>95.8</v>
      </c>
      <c r="F550">
        <v>92</v>
      </c>
      <c r="G550" s="11" t="str" cm="1">
        <f t="array" ref="G550">TRIM(RemoveSpecial(D550))</f>
        <v>Business Management Cum Laude and above</v>
      </c>
      <c r="H550" s="11" t="e">
        <f>VLOOKUP(G550,'course-cluster'!$A$2:$C$137,3, FALSE)</f>
        <v>#N/A</v>
      </c>
      <c r="I550" s="12" t="s">
        <v>219</v>
      </c>
    </row>
    <row r="551" spans="1:9" x14ac:dyDescent="0.55000000000000004">
      <c r="A551">
        <v>2013</v>
      </c>
      <c r="B551" t="s">
        <v>12</v>
      </c>
      <c r="C551" t="s">
        <v>18</v>
      </c>
      <c r="D551" t="s">
        <v>21</v>
      </c>
      <c r="E551">
        <v>87.3</v>
      </c>
      <c r="F551">
        <v>85.1</v>
      </c>
      <c r="G551" s="11" t="str" cm="1">
        <f t="array" ref="G551">TRIM(RemoveSpecial(D551))</f>
        <v>Chemical and Biomolecular Engineering</v>
      </c>
      <c r="H551" s="11" t="e">
        <f>VLOOKUP(G551,'course-cluster'!$A$2:$C$137,3, FALSE)</f>
        <v>#N/A</v>
      </c>
      <c r="I551" s="12" t="s">
        <v>372</v>
      </c>
    </row>
    <row r="552" spans="1:9" x14ac:dyDescent="0.55000000000000004">
      <c r="A552">
        <v>2019</v>
      </c>
      <c r="B552" t="s">
        <v>12</v>
      </c>
      <c r="C552" t="s">
        <v>18</v>
      </c>
      <c r="D552" t="s">
        <v>482</v>
      </c>
      <c r="E552">
        <v>88.6</v>
      </c>
      <c r="F552">
        <v>78.100000000000009</v>
      </c>
      <c r="G552" s="11" t="str" cm="1">
        <f t="array" ref="G552">TRIM(RemoveSpecial(D552))</f>
        <v>Chemical and Biomolecular Engineering</v>
      </c>
      <c r="H552" s="11" t="e">
        <f>VLOOKUP(G552,'course-cluster'!$A$2:$C$137,3, FALSE)</f>
        <v>#N/A</v>
      </c>
      <c r="I552" s="12" t="s">
        <v>372</v>
      </c>
    </row>
    <row r="553" spans="1:9" x14ac:dyDescent="0.55000000000000004">
      <c r="A553">
        <v>2015</v>
      </c>
      <c r="B553" t="s">
        <v>12</v>
      </c>
      <c r="C553" t="s">
        <v>18</v>
      </c>
      <c r="D553" t="s">
        <v>183</v>
      </c>
      <c r="E553">
        <v>86.8</v>
      </c>
      <c r="F553">
        <v>80.900000000000006</v>
      </c>
      <c r="G553" s="11" t="str" cm="1">
        <f t="array" ref="G553">TRIM(RemoveSpecial(D553))</f>
        <v>Chemical And Biomolecular Engineering</v>
      </c>
      <c r="H553" s="11" t="e">
        <f>VLOOKUP(G553,'course-cluster'!$A$2:$C$137,3, FALSE)</f>
        <v>#N/A</v>
      </c>
      <c r="I553" s="12" t="s">
        <v>372</v>
      </c>
    </row>
    <row r="554" spans="1:9" x14ac:dyDescent="0.55000000000000004">
      <c r="A554">
        <v>2014</v>
      </c>
      <c r="B554" t="s">
        <v>12</v>
      </c>
      <c r="C554" t="s">
        <v>18</v>
      </c>
      <c r="D554" t="s">
        <v>21</v>
      </c>
      <c r="E554">
        <v>83.8</v>
      </c>
      <c r="F554">
        <v>76.099999999999994</v>
      </c>
      <c r="G554" s="11" t="str" cm="1">
        <f t="array" ref="G554">TRIM(RemoveSpecial(D554))</f>
        <v>Chemical and Biomolecular Engineering</v>
      </c>
      <c r="H554" s="11" t="e">
        <f>VLOOKUP(G554,'course-cluster'!$A$2:$C$137,3, FALSE)</f>
        <v>#N/A</v>
      </c>
      <c r="I554" s="12" t="s">
        <v>372</v>
      </c>
    </row>
    <row r="555" spans="1:9" x14ac:dyDescent="0.55000000000000004">
      <c r="A555">
        <v>2016</v>
      </c>
      <c r="B555" t="s">
        <v>12</v>
      </c>
      <c r="C555" t="s">
        <v>18</v>
      </c>
      <c r="D555" t="s">
        <v>183</v>
      </c>
      <c r="E555">
        <v>80.599999999999994</v>
      </c>
      <c r="F555">
        <v>72.599999999999994</v>
      </c>
      <c r="G555" s="11" t="str" cm="1">
        <f t="array" ref="G555">TRIM(RemoveSpecial(D555))</f>
        <v>Chemical And Biomolecular Engineering</v>
      </c>
      <c r="H555" s="11" t="e">
        <f>VLOOKUP(G555,'course-cluster'!$A$2:$C$137,3, FALSE)</f>
        <v>#N/A</v>
      </c>
      <c r="I555" s="12" t="s">
        <v>372</v>
      </c>
    </row>
    <row r="556" spans="1:9" x14ac:dyDescent="0.55000000000000004">
      <c r="A556">
        <v>2018</v>
      </c>
      <c r="B556" t="s">
        <v>12</v>
      </c>
      <c r="C556" t="s">
        <v>18</v>
      </c>
      <c r="D556" t="s">
        <v>304</v>
      </c>
      <c r="E556">
        <v>91.6</v>
      </c>
      <c r="F556">
        <v>86</v>
      </c>
      <c r="G556" s="11" t="str" cm="1">
        <f t="array" ref="G556">TRIM(RemoveSpecial(D556))</f>
        <v>Chemical Biomolecular Engineering</v>
      </c>
      <c r="H556" s="11" t="e">
        <f>VLOOKUP(G556,'course-cluster'!$A$2:$C$137,3, FALSE)</f>
        <v>#N/A</v>
      </c>
      <c r="I556" s="12" t="s">
        <v>372</v>
      </c>
    </row>
    <row r="557" spans="1:9" x14ac:dyDescent="0.55000000000000004">
      <c r="A557">
        <v>2015</v>
      </c>
      <c r="B557" t="s">
        <v>12</v>
      </c>
      <c r="C557" t="s">
        <v>40</v>
      </c>
      <c r="D557" t="s">
        <v>45</v>
      </c>
      <c r="E557">
        <v>83.9</v>
      </c>
      <c r="F557">
        <v>72.3</v>
      </c>
      <c r="G557" s="11" t="str" cm="1">
        <f t="array" ref="G557">TRIM(RemoveSpecial(D557))</f>
        <v>Chemistry Biological Chemistry</v>
      </c>
      <c r="H557" s="11" t="e">
        <f>VLOOKUP(G557,'course-cluster'!$A$2:$C$137,3, FALSE)</f>
        <v>#N/A</v>
      </c>
      <c r="I557" s="12" t="s">
        <v>390</v>
      </c>
    </row>
    <row r="558" spans="1:9" x14ac:dyDescent="0.55000000000000004">
      <c r="A558">
        <v>2019</v>
      </c>
      <c r="B558" t="s">
        <v>12</v>
      </c>
      <c r="C558" t="s">
        <v>503</v>
      </c>
      <c r="D558" t="s">
        <v>510</v>
      </c>
      <c r="E558">
        <v>80.900000000000006</v>
      </c>
      <c r="F558">
        <v>66.2</v>
      </c>
      <c r="G558" s="11" t="str" cm="1">
        <f t="array" ref="G558">TRIM(RemoveSpecial(D558))</f>
        <v>Chemistry Biological Chemistry</v>
      </c>
      <c r="H558" s="11" t="e">
        <f>VLOOKUP(G558,'course-cluster'!$A$2:$C$137,3, FALSE)</f>
        <v>#N/A</v>
      </c>
      <c r="I558" s="12" t="s">
        <v>390</v>
      </c>
    </row>
    <row r="559" spans="1:9" x14ac:dyDescent="0.55000000000000004">
      <c r="A559">
        <v>2016</v>
      </c>
      <c r="B559" t="s">
        <v>12</v>
      </c>
      <c r="C559" t="s">
        <v>40</v>
      </c>
      <c r="D559" t="s">
        <v>45</v>
      </c>
      <c r="E559">
        <v>80.599999999999994</v>
      </c>
      <c r="F559">
        <v>64.2</v>
      </c>
      <c r="G559" s="11" t="str" cm="1">
        <f t="array" ref="G559">TRIM(RemoveSpecial(D559))</f>
        <v>Chemistry Biological Chemistry</v>
      </c>
      <c r="H559" s="11" t="e">
        <f>VLOOKUP(G559,'course-cluster'!$A$2:$C$137,3, FALSE)</f>
        <v>#N/A</v>
      </c>
      <c r="I559" s="12" t="s">
        <v>390</v>
      </c>
    </row>
    <row r="560" spans="1:9" x14ac:dyDescent="0.55000000000000004">
      <c r="A560">
        <v>2014</v>
      </c>
      <c r="B560" t="s">
        <v>12</v>
      </c>
      <c r="C560" t="s">
        <v>40</v>
      </c>
      <c r="D560" t="s">
        <v>45</v>
      </c>
      <c r="E560">
        <v>80.5</v>
      </c>
      <c r="F560">
        <v>68.3</v>
      </c>
      <c r="G560" s="11" t="str" cm="1">
        <f t="array" ref="G560">TRIM(RemoveSpecial(D560))</f>
        <v>Chemistry Biological Chemistry</v>
      </c>
      <c r="H560" s="11" t="e">
        <f>VLOOKUP(G560,'course-cluster'!$A$2:$C$137,3, FALSE)</f>
        <v>#N/A</v>
      </c>
      <c r="I560" s="12" t="s">
        <v>390</v>
      </c>
    </row>
    <row r="561" spans="1:9" x14ac:dyDescent="0.55000000000000004">
      <c r="A561">
        <v>2013</v>
      </c>
      <c r="B561" t="s">
        <v>12</v>
      </c>
      <c r="C561" t="s">
        <v>40</v>
      </c>
      <c r="D561" t="s">
        <v>45</v>
      </c>
      <c r="E561">
        <v>79.8</v>
      </c>
      <c r="F561">
        <v>68.900000000000006</v>
      </c>
      <c r="G561" s="11" t="str" cm="1">
        <f t="array" ref="G561">TRIM(RemoveSpecial(D561))</f>
        <v>Chemistry Biological Chemistry</v>
      </c>
      <c r="H561" s="11" t="e">
        <f>VLOOKUP(G561,'course-cluster'!$A$2:$C$137,3, FALSE)</f>
        <v>#N/A</v>
      </c>
      <c r="I561" s="12" t="s">
        <v>390</v>
      </c>
    </row>
    <row r="562" spans="1:9" x14ac:dyDescent="0.55000000000000004">
      <c r="A562">
        <v>2018</v>
      </c>
      <c r="B562" t="s">
        <v>12</v>
      </c>
      <c r="C562" t="s">
        <v>40</v>
      </c>
      <c r="D562" t="s">
        <v>45</v>
      </c>
      <c r="E562">
        <v>77.599999999999994</v>
      </c>
      <c r="F562">
        <v>63.9</v>
      </c>
      <c r="G562" s="11" t="str" cm="1">
        <f t="array" ref="G562">TRIM(RemoveSpecial(D562))</f>
        <v>Chemistry Biological Chemistry</v>
      </c>
      <c r="H562" s="11" t="e">
        <f>VLOOKUP(G562,'course-cluster'!$A$2:$C$137,3, FALSE)</f>
        <v>#N/A</v>
      </c>
      <c r="I562" s="12" t="s">
        <v>390</v>
      </c>
    </row>
    <row r="563" spans="1:9" x14ac:dyDescent="0.55000000000000004">
      <c r="A563">
        <v>2013</v>
      </c>
      <c r="B563" t="s">
        <v>12</v>
      </c>
      <c r="C563" t="s">
        <v>31</v>
      </c>
      <c r="D563" t="s">
        <v>33</v>
      </c>
      <c r="E563">
        <v>85.1</v>
      </c>
      <c r="F563">
        <v>80.5</v>
      </c>
      <c r="G563" s="11" t="str" cm="1">
        <f t="array" ref="G563">TRIM(RemoveSpecial(D563))</f>
        <v>Chinese</v>
      </c>
      <c r="H563" s="11" t="e">
        <f>VLOOKUP(G563,'course-cluster'!$A$2:$C$137,3, FALSE)</f>
        <v>#N/A</v>
      </c>
      <c r="I563" s="12" t="s">
        <v>393</v>
      </c>
    </row>
    <row r="564" spans="1:9" x14ac:dyDescent="0.55000000000000004">
      <c r="A564">
        <v>2017</v>
      </c>
      <c r="B564" t="s">
        <v>12</v>
      </c>
      <c r="C564" t="s">
        <v>40</v>
      </c>
      <c r="D564" t="s">
        <v>273</v>
      </c>
      <c r="E564">
        <v>92</v>
      </c>
      <c r="F564">
        <v>80</v>
      </c>
      <c r="G564" s="11" t="str" cm="1">
        <f t="array" ref="G564">TRIM(RemoveSpecial(D564))</f>
        <v>Double Degree in Bachelor of Science (Hons) in Biomedical Sciences and Bachelor of Medicine (Chinese Medicine)</v>
      </c>
      <c r="H564" s="11" t="str">
        <f>VLOOKUP(G564,'course-cluster'!$A$2:$C$137,3, FALSE)</f>
        <v>Sciences</v>
      </c>
    </row>
    <row r="565" spans="1:9" x14ac:dyDescent="0.55000000000000004">
      <c r="A565">
        <v>2016</v>
      </c>
      <c r="B565" t="s">
        <v>12</v>
      </c>
      <c r="C565" t="s">
        <v>31</v>
      </c>
      <c r="D565" t="s">
        <v>33</v>
      </c>
      <c r="E565">
        <v>91.1</v>
      </c>
      <c r="F565">
        <v>74.7</v>
      </c>
      <c r="G565" s="11" t="str" cm="1">
        <f t="array" ref="G565">TRIM(RemoveSpecial(D565))</f>
        <v>Chinese</v>
      </c>
      <c r="H565" s="11" t="e">
        <f>VLOOKUP(G565,'course-cluster'!$A$2:$C$137,3, FALSE)</f>
        <v>#N/A</v>
      </c>
      <c r="I565" s="12" t="s">
        <v>393</v>
      </c>
    </row>
    <row r="566" spans="1:9" x14ac:dyDescent="0.55000000000000004">
      <c r="A566">
        <v>2019</v>
      </c>
      <c r="B566" t="s">
        <v>12</v>
      </c>
      <c r="C566" t="s">
        <v>31</v>
      </c>
      <c r="D566" t="s">
        <v>493</v>
      </c>
      <c r="E566">
        <v>90.100000000000009</v>
      </c>
      <c r="F566">
        <v>79</v>
      </c>
      <c r="G566" s="11" t="str" cm="1">
        <f t="array" ref="G566">TRIM(RemoveSpecial(D566))</f>
        <v>Chinese</v>
      </c>
      <c r="H566" s="11" t="e">
        <f>VLOOKUP(G566,'course-cluster'!$A$2:$C$137,3, FALSE)</f>
        <v>#N/A</v>
      </c>
      <c r="I566" s="12" t="s">
        <v>393</v>
      </c>
    </row>
    <row r="567" spans="1:9" x14ac:dyDescent="0.55000000000000004">
      <c r="A567">
        <v>2014</v>
      </c>
      <c r="B567" t="s">
        <v>12</v>
      </c>
      <c r="C567" t="s">
        <v>31</v>
      </c>
      <c r="D567" t="s">
        <v>33</v>
      </c>
      <c r="E567">
        <v>86.8</v>
      </c>
      <c r="F567">
        <v>75.8</v>
      </c>
      <c r="G567" s="11" t="str" cm="1">
        <f t="array" ref="G567">TRIM(RemoveSpecial(D567))</f>
        <v>Chinese</v>
      </c>
      <c r="H567" s="11" t="e">
        <f>VLOOKUP(G567,'course-cluster'!$A$2:$C$137,3, FALSE)</f>
        <v>#N/A</v>
      </c>
      <c r="I567" s="12" t="s">
        <v>393</v>
      </c>
    </row>
    <row r="568" spans="1:9" x14ac:dyDescent="0.55000000000000004">
      <c r="A568">
        <v>2018</v>
      </c>
      <c r="B568" t="s">
        <v>12</v>
      </c>
      <c r="C568" t="s">
        <v>31</v>
      </c>
      <c r="D568" t="s">
        <v>33</v>
      </c>
      <c r="E568">
        <v>86.4</v>
      </c>
      <c r="F568">
        <v>76.3</v>
      </c>
      <c r="G568" s="11" t="str" cm="1">
        <f t="array" ref="G568">TRIM(RemoveSpecial(D568))</f>
        <v>Chinese</v>
      </c>
      <c r="H568" s="11" t="e">
        <f>VLOOKUP(G568,'course-cluster'!$A$2:$C$137,3, FALSE)</f>
        <v>#N/A</v>
      </c>
      <c r="I568" s="12" t="s">
        <v>393</v>
      </c>
    </row>
    <row r="569" spans="1:9" x14ac:dyDescent="0.55000000000000004">
      <c r="A569">
        <v>2015</v>
      </c>
      <c r="B569" t="s">
        <v>12</v>
      </c>
      <c r="C569" t="s">
        <v>31</v>
      </c>
      <c r="D569" t="s">
        <v>33</v>
      </c>
      <c r="E569">
        <v>81.8</v>
      </c>
      <c r="F569">
        <v>76.599999999999994</v>
      </c>
      <c r="G569" s="11" t="str" cm="1">
        <f t="array" ref="G569">TRIM(RemoveSpecial(D569))</f>
        <v>Chinese</v>
      </c>
      <c r="H569" s="11" t="e">
        <f>VLOOKUP(G569,'course-cluster'!$A$2:$C$137,3, FALSE)</f>
        <v>#N/A</v>
      </c>
      <c r="I569" s="12" t="s">
        <v>393</v>
      </c>
    </row>
    <row r="570" spans="1:9" x14ac:dyDescent="0.55000000000000004">
      <c r="A570">
        <v>2013</v>
      </c>
      <c r="B570" t="s">
        <v>12</v>
      </c>
      <c r="C570" t="s">
        <v>18</v>
      </c>
      <c r="D570" t="s">
        <v>23</v>
      </c>
      <c r="E570">
        <v>94.8</v>
      </c>
      <c r="F570">
        <v>93.8</v>
      </c>
      <c r="G570" s="11" t="str" cm="1">
        <f t="array" ref="G570">TRIM(RemoveSpecial(D570))</f>
        <v>Civil Engineering</v>
      </c>
      <c r="H570" s="11" t="e">
        <f>VLOOKUP(G570,'course-cluster'!$A$2:$C$137,3, FALSE)</f>
        <v>#N/A</v>
      </c>
      <c r="I570" s="12" t="s">
        <v>372</v>
      </c>
    </row>
    <row r="571" spans="1:9" x14ac:dyDescent="0.55000000000000004">
      <c r="A571">
        <v>2018</v>
      </c>
      <c r="B571" t="s">
        <v>12</v>
      </c>
      <c r="C571" t="s">
        <v>18</v>
      </c>
      <c r="D571" t="s">
        <v>23</v>
      </c>
      <c r="E571">
        <v>96.5</v>
      </c>
      <c r="F571">
        <v>96.5</v>
      </c>
      <c r="G571" s="11" t="str" cm="1">
        <f t="array" ref="G571">TRIM(RemoveSpecial(D571))</f>
        <v>Civil Engineering</v>
      </c>
      <c r="H571" s="11" t="e">
        <f>VLOOKUP(G571,'course-cluster'!$A$2:$C$137,3, FALSE)</f>
        <v>#N/A</v>
      </c>
      <c r="I571" s="12" t="s">
        <v>372</v>
      </c>
    </row>
    <row r="572" spans="1:9" x14ac:dyDescent="0.55000000000000004">
      <c r="A572">
        <v>2015</v>
      </c>
      <c r="B572" t="s">
        <v>12</v>
      </c>
      <c r="C572" t="s">
        <v>18</v>
      </c>
      <c r="D572" t="s">
        <v>23</v>
      </c>
      <c r="E572">
        <v>95.3</v>
      </c>
      <c r="F572">
        <v>93</v>
      </c>
      <c r="G572" s="11" t="str" cm="1">
        <f t="array" ref="G572">TRIM(RemoveSpecial(D572))</f>
        <v>Civil Engineering</v>
      </c>
      <c r="H572" s="11" t="e">
        <f>VLOOKUP(G572,'course-cluster'!$A$2:$C$137,3, FALSE)</f>
        <v>#N/A</v>
      </c>
      <c r="I572" s="12" t="s">
        <v>372</v>
      </c>
    </row>
    <row r="573" spans="1:9" x14ac:dyDescent="0.55000000000000004">
      <c r="A573">
        <v>2019</v>
      </c>
      <c r="B573" t="s">
        <v>12</v>
      </c>
      <c r="C573" t="s">
        <v>18</v>
      </c>
      <c r="D573" t="s">
        <v>483</v>
      </c>
      <c r="E573">
        <v>94.899999999999991</v>
      </c>
      <c r="F573">
        <v>90.600000000000009</v>
      </c>
      <c r="G573" s="11" t="str" cm="1">
        <f t="array" ref="G573">TRIM(RemoveSpecial(D573))</f>
        <v>Civil Engineering</v>
      </c>
      <c r="H573" s="11" t="e">
        <f>VLOOKUP(G573,'course-cluster'!$A$2:$C$137,3, FALSE)</f>
        <v>#N/A</v>
      </c>
      <c r="I573" s="12" t="s">
        <v>372</v>
      </c>
    </row>
    <row r="574" spans="1:9" x14ac:dyDescent="0.55000000000000004">
      <c r="A574">
        <v>2014</v>
      </c>
      <c r="B574" t="s">
        <v>12</v>
      </c>
      <c r="C574" t="s">
        <v>18</v>
      </c>
      <c r="D574" t="s">
        <v>23</v>
      </c>
      <c r="E574">
        <v>93.8</v>
      </c>
      <c r="F574">
        <v>92.9</v>
      </c>
      <c r="G574" s="11" t="str" cm="1">
        <f t="array" ref="G574">TRIM(RemoveSpecial(D574))</f>
        <v>Civil Engineering</v>
      </c>
      <c r="H574" s="11" t="e">
        <f>VLOOKUP(G574,'course-cluster'!$A$2:$C$137,3, FALSE)</f>
        <v>#N/A</v>
      </c>
      <c r="I574" s="12" t="s">
        <v>372</v>
      </c>
    </row>
    <row r="575" spans="1:9" x14ac:dyDescent="0.55000000000000004">
      <c r="A575">
        <v>2016</v>
      </c>
      <c r="B575" t="s">
        <v>12</v>
      </c>
      <c r="C575" t="s">
        <v>18</v>
      </c>
      <c r="D575" t="s">
        <v>23</v>
      </c>
      <c r="E575">
        <v>92.4</v>
      </c>
      <c r="F575">
        <v>91.6</v>
      </c>
      <c r="G575" s="11" t="str" cm="1">
        <f t="array" ref="G575">TRIM(RemoveSpecial(D575))</f>
        <v>Civil Engineering</v>
      </c>
      <c r="H575" s="11" t="e">
        <f>VLOOKUP(G575,'course-cluster'!$A$2:$C$137,3, FALSE)</f>
        <v>#N/A</v>
      </c>
      <c r="I575" s="12" t="s">
        <v>372</v>
      </c>
    </row>
    <row r="576" spans="1:9" x14ac:dyDescent="0.55000000000000004">
      <c r="A576">
        <v>2013</v>
      </c>
      <c r="B576" t="s">
        <v>12</v>
      </c>
      <c r="C576" t="s">
        <v>31</v>
      </c>
      <c r="D576" t="s">
        <v>34</v>
      </c>
      <c r="E576">
        <v>89.4</v>
      </c>
      <c r="F576">
        <v>79.599999999999994</v>
      </c>
      <c r="G576" s="11" t="str" cm="1">
        <f t="array" ref="G576">TRIM(RemoveSpecial(D576))</f>
        <v>Communication Studies</v>
      </c>
      <c r="H576" s="11" t="e">
        <f>VLOOKUP(G576,'course-cluster'!$A$2:$C$137,3, FALSE)</f>
        <v>#N/A</v>
      </c>
      <c r="I576" s="12" t="s">
        <v>354</v>
      </c>
    </row>
    <row r="577" spans="1:9" x14ac:dyDescent="0.55000000000000004">
      <c r="A577">
        <v>2018</v>
      </c>
      <c r="B577" t="s">
        <v>12</v>
      </c>
      <c r="C577" t="s">
        <v>31</v>
      </c>
      <c r="D577" t="s">
        <v>34</v>
      </c>
      <c r="E577">
        <v>95</v>
      </c>
      <c r="F577">
        <v>84.2</v>
      </c>
      <c r="G577" s="11" t="str" cm="1">
        <f t="array" ref="G577">TRIM(RemoveSpecial(D577))</f>
        <v>Communication Studies</v>
      </c>
      <c r="H577" s="11" t="e">
        <f>VLOOKUP(G577,'course-cluster'!$A$2:$C$137,3, FALSE)</f>
        <v>#N/A</v>
      </c>
      <c r="I577" s="12" t="s">
        <v>354</v>
      </c>
    </row>
    <row r="578" spans="1:9" x14ac:dyDescent="0.55000000000000004">
      <c r="A578">
        <v>2019</v>
      </c>
      <c r="B578" t="s">
        <v>12</v>
      </c>
      <c r="C578" t="s">
        <v>31</v>
      </c>
      <c r="D578" t="s">
        <v>494</v>
      </c>
      <c r="E578">
        <v>90.4</v>
      </c>
      <c r="F578">
        <v>69.399999999999991</v>
      </c>
      <c r="G578" s="11" t="str" cm="1">
        <f t="array" ref="G578">TRIM(RemoveSpecial(D578))</f>
        <v>Communication Studies</v>
      </c>
      <c r="H578" s="11" t="e">
        <f>VLOOKUP(G578,'course-cluster'!$A$2:$C$137,3, FALSE)</f>
        <v>#N/A</v>
      </c>
      <c r="I578" s="12" t="s">
        <v>354</v>
      </c>
    </row>
    <row r="579" spans="1:9" x14ac:dyDescent="0.55000000000000004">
      <c r="A579">
        <v>2016</v>
      </c>
      <c r="B579" t="s">
        <v>12</v>
      </c>
      <c r="C579" t="s">
        <v>31</v>
      </c>
      <c r="D579" t="s">
        <v>34</v>
      </c>
      <c r="E579">
        <v>87.7</v>
      </c>
      <c r="F579">
        <v>69.599999999999994</v>
      </c>
      <c r="G579" s="11" t="str" cm="1">
        <f t="array" ref="G579">TRIM(RemoveSpecial(D579))</f>
        <v>Communication Studies</v>
      </c>
      <c r="H579" s="11" t="e">
        <f>VLOOKUP(G579,'course-cluster'!$A$2:$C$137,3, FALSE)</f>
        <v>#N/A</v>
      </c>
      <c r="I579" s="12" t="s">
        <v>354</v>
      </c>
    </row>
    <row r="580" spans="1:9" x14ac:dyDescent="0.55000000000000004">
      <c r="A580">
        <v>2014</v>
      </c>
      <c r="B580" t="s">
        <v>12</v>
      </c>
      <c r="C580" t="s">
        <v>31</v>
      </c>
      <c r="D580" t="s">
        <v>34</v>
      </c>
      <c r="E580">
        <v>86.7</v>
      </c>
      <c r="F580">
        <v>77.900000000000006</v>
      </c>
      <c r="G580" s="11" t="str" cm="1">
        <f t="array" ref="G580">TRIM(RemoveSpecial(D580))</f>
        <v>Communication Studies</v>
      </c>
      <c r="H580" s="11" t="e">
        <f>VLOOKUP(G580,'course-cluster'!$A$2:$C$137,3, FALSE)</f>
        <v>#N/A</v>
      </c>
      <c r="I580" s="12" t="s">
        <v>354</v>
      </c>
    </row>
    <row r="581" spans="1:9" x14ac:dyDescent="0.55000000000000004">
      <c r="A581">
        <v>2015</v>
      </c>
      <c r="B581" t="s">
        <v>12</v>
      </c>
      <c r="C581" t="s">
        <v>31</v>
      </c>
      <c r="D581" t="s">
        <v>34</v>
      </c>
      <c r="E581">
        <v>85.1</v>
      </c>
      <c r="F581">
        <v>74.400000000000006</v>
      </c>
      <c r="G581" s="11" t="str" cm="1">
        <f t="array" ref="G581">TRIM(RemoveSpecial(D581))</f>
        <v>Communication Studies</v>
      </c>
      <c r="H581" s="11" t="e">
        <f>VLOOKUP(G581,'course-cluster'!$A$2:$C$137,3, FALSE)</f>
        <v>#N/A</v>
      </c>
      <c r="I581" s="12" t="s">
        <v>354</v>
      </c>
    </row>
    <row r="582" spans="1:9" x14ac:dyDescent="0.55000000000000004">
      <c r="A582">
        <v>2013</v>
      </c>
      <c r="B582" t="s">
        <v>12</v>
      </c>
      <c r="C582" t="s">
        <v>18</v>
      </c>
      <c r="D582" t="s">
        <v>22</v>
      </c>
      <c r="E582">
        <v>90.3</v>
      </c>
      <c r="F582">
        <v>88.2</v>
      </c>
      <c r="G582" s="11" t="str" cm="1">
        <f t="array" ref="G582">TRIM(RemoveSpecial(D582))</f>
        <v>Computer Engineering</v>
      </c>
      <c r="H582" s="11" t="e">
        <f>VLOOKUP(G582,'course-cluster'!$A$2:$C$137,3, FALSE)</f>
        <v>#N/A</v>
      </c>
      <c r="I582" s="12" t="s">
        <v>409</v>
      </c>
    </row>
    <row r="583" spans="1:9" x14ac:dyDescent="0.55000000000000004">
      <c r="A583">
        <v>2018</v>
      </c>
      <c r="B583" t="s">
        <v>12</v>
      </c>
      <c r="C583" t="s">
        <v>18</v>
      </c>
      <c r="D583" t="s">
        <v>22</v>
      </c>
      <c r="E583">
        <v>95.8</v>
      </c>
      <c r="F583">
        <v>95.8</v>
      </c>
      <c r="G583" s="11" t="str" cm="1">
        <f t="array" ref="G583">TRIM(RemoveSpecial(D583))</f>
        <v>Computer Engineering</v>
      </c>
      <c r="H583" s="11" t="e">
        <f>VLOOKUP(G583,'course-cluster'!$A$2:$C$137,3, FALSE)</f>
        <v>#N/A</v>
      </c>
      <c r="I583" s="12" t="s">
        <v>409</v>
      </c>
    </row>
    <row r="584" spans="1:9" x14ac:dyDescent="0.55000000000000004">
      <c r="A584">
        <v>2019</v>
      </c>
      <c r="B584" t="s">
        <v>12</v>
      </c>
      <c r="C584" t="s">
        <v>18</v>
      </c>
      <c r="D584" t="s">
        <v>484</v>
      </c>
      <c r="E584">
        <v>94.6</v>
      </c>
      <c r="F584">
        <v>94.6</v>
      </c>
      <c r="G584" s="11" t="str" cm="1">
        <f t="array" ref="G584">TRIM(RemoveSpecial(D584))</f>
        <v>Computer Engineering</v>
      </c>
      <c r="H584" s="11" t="e">
        <f>VLOOKUP(G584,'course-cluster'!$A$2:$C$137,3, FALSE)</f>
        <v>#N/A</v>
      </c>
      <c r="I584" s="12" t="s">
        <v>409</v>
      </c>
    </row>
    <row r="585" spans="1:9" x14ac:dyDescent="0.55000000000000004">
      <c r="A585">
        <v>2014</v>
      </c>
      <c r="B585" t="s">
        <v>12</v>
      </c>
      <c r="C585" t="s">
        <v>18</v>
      </c>
      <c r="D585" t="s">
        <v>22</v>
      </c>
      <c r="E585">
        <v>91.4</v>
      </c>
      <c r="F585">
        <v>88.8</v>
      </c>
      <c r="G585" s="11" t="str" cm="1">
        <f t="array" ref="G585">TRIM(RemoveSpecial(D585))</f>
        <v>Computer Engineering</v>
      </c>
      <c r="H585" s="11" t="e">
        <f>VLOOKUP(G585,'course-cluster'!$A$2:$C$137,3, FALSE)</f>
        <v>#N/A</v>
      </c>
      <c r="I585" s="12" t="s">
        <v>409</v>
      </c>
    </row>
    <row r="586" spans="1:9" x14ac:dyDescent="0.55000000000000004">
      <c r="A586">
        <v>2015</v>
      </c>
      <c r="B586" t="s">
        <v>12</v>
      </c>
      <c r="C586" t="s">
        <v>18</v>
      </c>
      <c r="D586" t="s">
        <v>22</v>
      </c>
      <c r="E586">
        <v>85.1</v>
      </c>
      <c r="F586">
        <v>83</v>
      </c>
      <c r="G586" s="11" t="str" cm="1">
        <f t="array" ref="G586">TRIM(RemoveSpecial(D586))</f>
        <v>Computer Engineering</v>
      </c>
      <c r="H586" s="11" t="e">
        <f>VLOOKUP(G586,'course-cluster'!$A$2:$C$137,3, FALSE)</f>
        <v>#N/A</v>
      </c>
      <c r="I586" s="12" t="s">
        <v>409</v>
      </c>
    </row>
    <row r="587" spans="1:9" x14ac:dyDescent="0.55000000000000004">
      <c r="A587">
        <v>2016</v>
      </c>
      <c r="B587" t="s">
        <v>12</v>
      </c>
      <c r="C587" t="s">
        <v>18</v>
      </c>
      <c r="D587" t="s">
        <v>22</v>
      </c>
      <c r="E587">
        <v>83.3</v>
      </c>
      <c r="F587">
        <v>75.900000000000006</v>
      </c>
      <c r="G587" s="11" t="str" cm="1">
        <f t="array" ref="G587">TRIM(RemoveSpecial(D587))</f>
        <v>Computer Engineering</v>
      </c>
      <c r="H587" s="11" t="e">
        <f>VLOOKUP(G587,'course-cluster'!$A$2:$C$137,3, FALSE)</f>
        <v>#N/A</v>
      </c>
      <c r="I587" s="12" t="s">
        <v>409</v>
      </c>
    </row>
    <row r="588" spans="1:9" x14ac:dyDescent="0.55000000000000004">
      <c r="A588">
        <v>2013</v>
      </c>
      <c r="B588" t="s">
        <v>12</v>
      </c>
      <c r="C588" t="s">
        <v>18</v>
      </c>
      <c r="D588" t="s">
        <v>24</v>
      </c>
      <c r="E588">
        <v>92.1</v>
      </c>
      <c r="F588">
        <v>88.5</v>
      </c>
      <c r="G588" s="11" t="str" cm="1">
        <f t="array" ref="G588">TRIM(RemoveSpecial(D588))</f>
        <v>Computer Science</v>
      </c>
      <c r="H588" s="11" t="e">
        <f>VLOOKUP(G588,'course-cluster'!$A$2:$C$137,3, FALSE)</f>
        <v>#N/A</v>
      </c>
      <c r="I588" s="12" t="s">
        <v>409</v>
      </c>
    </row>
    <row r="589" spans="1:9" x14ac:dyDescent="0.55000000000000004">
      <c r="A589">
        <v>2019</v>
      </c>
      <c r="B589" t="s">
        <v>12</v>
      </c>
      <c r="C589" t="s">
        <v>18</v>
      </c>
      <c r="D589" t="s">
        <v>485</v>
      </c>
      <c r="E589">
        <v>97.399999999999991</v>
      </c>
      <c r="F589">
        <v>95.899999999999991</v>
      </c>
      <c r="G589" s="11" t="str" cm="1">
        <f t="array" ref="G589">TRIM(RemoveSpecial(D589))</f>
        <v>Computer Science</v>
      </c>
      <c r="H589" s="11" t="e">
        <f>VLOOKUP(G589,'course-cluster'!$A$2:$C$137,3, FALSE)</f>
        <v>#N/A</v>
      </c>
      <c r="I589" s="12" t="s">
        <v>409</v>
      </c>
    </row>
    <row r="590" spans="1:9" x14ac:dyDescent="0.55000000000000004">
      <c r="A590">
        <v>2016</v>
      </c>
      <c r="B590" t="s">
        <v>12</v>
      </c>
      <c r="C590" t="s">
        <v>18</v>
      </c>
      <c r="D590" t="s">
        <v>24</v>
      </c>
      <c r="E590">
        <v>94.6</v>
      </c>
      <c r="F590">
        <v>91.4</v>
      </c>
      <c r="G590" s="11" t="str" cm="1">
        <f t="array" ref="G590">TRIM(RemoveSpecial(D590))</f>
        <v>Computer Science</v>
      </c>
      <c r="H590" s="11" t="e">
        <f>VLOOKUP(G590,'course-cluster'!$A$2:$C$137,3, FALSE)</f>
        <v>#N/A</v>
      </c>
      <c r="I590" s="12" t="s">
        <v>409</v>
      </c>
    </row>
    <row r="591" spans="1:9" x14ac:dyDescent="0.55000000000000004">
      <c r="A591">
        <v>2014</v>
      </c>
      <c r="B591" t="s">
        <v>12</v>
      </c>
      <c r="C591" t="s">
        <v>18</v>
      </c>
      <c r="D591" t="s">
        <v>24</v>
      </c>
      <c r="E591">
        <v>94.5</v>
      </c>
      <c r="F591">
        <v>93.7</v>
      </c>
      <c r="G591" s="11" t="str" cm="1">
        <f t="array" ref="G591">TRIM(RemoveSpecial(D591))</f>
        <v>Computer Science</v>
      </c>
      <c r="H591" s="11" t="e">
        <f>VLOOKUP(G591,'course-cluster'!$A$2:$C$137,3, FALSE)</f>
        <v>#N/A</v>
      </c>
      <c r="I591" s="12" t="s">
        <v>409</v>
      </c>
    </row>
    <row r="592" spans="1:9" x14ac:dyDescent="0.55000000000000004">
      <c r="A592">
        <v>2018</v>
      </c>
      <c r="B592" t="s">
        <v>12</v>
      </c>
      <c r="C592" t="s">
        <v>18</v>
      </c>
      <c r="D592" t="s">
        <v>24</v>
      </c>
      <c r="E592">
        <v>94.4</v>
      </c>
      <c r="F592">
        <v>93</v>
      </c>
      <c r="G592" s="11" t="str" cm="1">
        <f t="array" ref="G592">TRIM(RemoveSpecial(D592))</f>
        <v>Computer Science</v>
      </c>
      <c r="H592" s="11" t="e">
        <f>VLOOKUP(G592,'course-cluster'!$A$2:$C$137,3, FALSE)</f>
        <v>#N/A</v>
      </c>
      <c r="I592" s="12" t="s">
        <v>409</v>
      </c>
    </row>
    <row r="593" spans="1:9" x14ac:dyDescent="0.55000000000000004">
      <c r="A593">
        <v>2015</v>
      </c>
      <c r="B593" t="s">
        <v>12</v>
      </c>
      <c r="C593" t="s">
        <v>18</v>
      </c>
      <c r="D593" t="s">
        <v>24</v>
      </c>
      <c r="E593">
        <v>92.4</v>
      </c>
      <c r="F593">
        <v>91.4</v>
      </c>
      <c r="G593" s="11" t="str" cm="1">
        <f t="array" ref="G593">TRIM(RemoveSpecial(D593))</f>
        <v>Computer Science</v>
      </c>
      <c r="H593" s="11" t="e">
        <f>VLOOKUP(G593,'course-cluster'!$A$2:$C$137,3, FALSE)</f>
        <v>#N/A</v>
      </c>
      <c r="I593" s="12" t="s">
        <v>409</v>
      </c>
    </row>
    <row r="594" spans="1:9" x14ac:dyDescent="0.55000000000000004">
      <c r="A594">
        <v>2013</v>
      </c>
      <c r="B594" t="s">
        <v>12</v>
      </c>
      <c r="C594" t="s">
        <v>31</v>
      </c>
      <c r="D594" t="s">
        <v>35</v>
      </c>
      <c r="E594">
        <v>89.9</v>
      </c>
      <c r="F594">
        <v>83.5</v>
      </c>
      <c r="G594" s="11" t="str" cm="1">
        <f t="array" ref="G594">TRIM(RemoveSpecial(D594))</f>
        <v>Economics</v>
      </c>
      <c r="H594" s="11" t="e">
        <f>VLOOKUP(G594,'course-cluster'!$A$2:$C$137,3, FALSE)</f>
        <v>#N/A</v>
      </c>
      <c r="I594" s="12" t="s">
        <v>393</v>
      </c>
    </row>
    <row r="595" spans="1:9" x14ac:dyDescent="0.55000000000000004">
      <c r="A595">
        <v>2016</v>
      </c>
      <c r="B595" t="s">
        <v>103</v>
      </c>
      <c r="C595" t="s">
        <v>134</v>
      </c>
      <c r="D595" t="s">
        <v>35</v>
      </c>
      <c r="E595">
        <v>93.4</v>
      </c>
      <c r="F595">
        <v>84</v>
      </c>
      <c r="G595" s="11" t="str" cm="1">
        <f t="array" ref="G595">TRIM(RemoveSpecial(D595))</f>
        <v>Economics</v>
      </c>
      <c r="H595" s="11" t="e">
        <f>VLOOKUP(G595,'course-cluster'!$A$2:$C$137,3, FALSE)</f>
        <v>#N/A</v>
      </c>
      <c r="I595" s="12" t="s">
        <v>393</v>
      </c>
    </row>
    <row r="596" spans="1:9" x14ac:dyDescent="0.55000000000000004">
      <c r="A596">
        <v>2016</v>
      </c>
      <c r="B596" t="s">
        <v>12</v>
      </c>
      <c r="C596" t="s">
        <v>31</v>
      </c>
      <c r="D596" t="s">
        <v>35</v>
      </c>
      <c r="E596">
        <v>91.3</v>
      </c>
      <c r="F596">
        <v>79.3</v>
      </c>
      <c r="G596" s="11" t="str" cm="1">
        <f t="array" ref="G596">TRIM(RemoveSpecial(D596))</f>
        <v>Economics</v>
      </c>
      <c r="H596" s="11" t="e">
        <f>VLOOKUP(G596,'course-cluster'!$A$2:$C$137,3, FALSE)</f>
        <v>#N/A</v>
      </c>
      <c r="I596" s="12" t="s">
        <v>393</v>
      </c>
    </row>
    <row r="597" spans="1:9" x14ac:dyDescent="0.55000000000000004">
      <c r="A597">
        <v>2017</v>
      </c>
      <c r="B597" t="s">
        <v>103</v>
      </c>
      <c r="C597" t="s">
        <v>110</v>
      </c>
      <c r="D597" t="s">
        <v>35</v>
      </c>
      <c r="E597">
        <v>91.3</v>
      </c>
      <c r="F597">
        <v>82.6</v>
      </c>
      <c r="G597" s="11" t="str" cm="1">
        <f t="array" ref="G597">TRIM(RemoveSpecial(D597))</f>
        <v>Economics</v>
      </c>
      <c r="H597" s="11" t="e">
        <f>VLOOKUP(G597,'course-cluster'!$A$2:$C$137,3, FALSE)</f>
        <v>#N/A</v>
      </c>
      <c r="I597" s="12" t="s">
        <v>393</v>
      </c>
    </row>
    <row r="598" spans="1:9" x14ac:dyDescent="0.55000000000000004">
      <c r="A598">
        <v>2018</v>
      </c>
      <c r="B598" t="s">
        <v>103</v>
      </c>
      <c r="C598" t="s">
        <v>134</v>
      </c>
      <c r="D598" t="s">
        <v>35</v>
      </c>
      <c r="E598">
        <v>91.1</v>
      </c>
      <c r="F598">
        <v>85.6</v>
      </c>
      <c r="G598" s="11" t="str" cm="1">
        <f t="array" ref="G598">TRIM(RemoveSpecial(D598))</f>
        <v>Economics</v>
      </c>
      <c r="H598" s="11" t="e">
        <f>VLOOKUP(G598,'course-cluster'!$A$2:$C$137,3, FALSE)</f>
        <v>#N/A</v>
      </c>
      <c r="I598" s="12" t="s">
        <v>393</v>
      </c>
    </row>
    <row r="599" spans="1:9" x14ac:dyDescent="0.55000000000000004">
      <c r="A599">
        <v>2015</v>
      </c>
      <c r="B599" t="s">
        <v>103</v>
      </c>
      <c r="C599" t="s">
        <v>134</v>
      </c>
      <c r="D599" t="s">
        <v>35</v>
      </c>
      <c r="E599">
        <v>90.3</v>
      </c>
      <c r="F599">
        <v>85.8</v>
      </c>
      <c r="G599" s="11" t="str" cm="1">
        <f t="array" ref="G599">TRIM(RemoveSpecial(D599))</f>
        <v>Economics</v>
      </c>
      <c r="H599" s="11" t="e">
        <f>VLOOKUP(G599,'course-cluster'!$A$2:$C$137,3, FALSE)</f>
        <v>#N/A</v>
      </c>
      <c r="I599" s="12" t="s">
        <v>393</v>
      </c>
    </row>
    <row r="600" spans="1:9" x14ac:dyDescent="0.55000000000000004">
      <c r="A600">
        <v>2018</v>
      </c>
      <c r="B600" t="s">
        <v>12</v>
      </c>
      <c r="C600" t="s">
        <v>31</v>
      </c>
      <c r="D600" t="s">
        <v>35</v>
      </c>
      <c r="E600">
        <v>90.1</v>
      </c>
      <c r="F600">
        <v>84</v>
      </c>
      <c r="G600" s="11" t="str" cm="1">
        <f t="array" ref="G600">TRIM(RemoveSpecial(D600))</f>
        <v>Economics</v>
      </c>
      <c r="H600" s="11" t="e">
        <f>VLOOKUP(G600,'course-cluster'!$A$2:$C$137,3, FALSE)</f>
        <v>#N/A</v>
      </c>
      <c r="I600" s="12" t="s">
        <v>393</v>
      </c>
    </row>
    <row r="601" spans="1:9" x14ac:dyDescent="0.55000000000000004">
      <c r="A601">
        <v>2014</v>
      </c>
      <c r="B601" t="s">
        <v>12</v>
      </c>
      <c r="C601" t="s">
        <v>31</v>
      </c>
      <c r="D601" t="s">
        <v>35</v>
      </c>
      <c r="E601">
        <v>88.7</v>
      </c>
      <c r="F601">
        <v>78.400000000000006</v>
      </c>
      <c r="G601" s="11" t="str" cm="1">
        <f t="array" ref="G601">TRIM(RemoveSpecial(D601))</f>
        <v>Economics</v>
      </c>
      <c r="H601" s="11" t="e">
        <f>VLOOKUP(G601,'course-cluster'!$A$2:$C$137,3, FALSE)</f>
        <v>#N/A</v>
      </c>
      <c r="I601" s="12" t="s">
        <v>393</v>
      </c>
    </row>
    <row r="602" spans="1:9" x14ac:dyDescent="0.55000000000000004">
      <c r="A602">
        <v>2019</v>
      </c>
      <c r="B602" t="s">
        <v>12</v>
      </c>
      <c r="C602" t="s">
        <v>31</v>
      </c>
      <c r="D602" t="s">
        <v>495</v>
      </c>
      <c r="E602">
        <v>88.2</v>
      </c>
      <c r="F602">
        <v>79.800000000000011</v>
      </c>
      <c r="G602" s="11" t="str" cm="1">
        <f t="array" ref="G602">TRIM(RemoveSpecial(D602))</f>
        <v>Economics</v>
      </c>
      <c r="H602" s="11" t="e">
        <f>VLOOKUP(G602,'course-cluster'!$A$2:$C$137,3, FALSE)</f>
        <v>#N/A</v>
      </c>
      <c r="I602" s="12" t="s">
        <v>393</v>
      </c>
    </row>
    <row r="603" spans="1:9" x14ac:dyDescent="0.55000000000000004">
      <c r="A603">
        <v>2015</v>
      </c>
      <c r="B603" t="s">
        <v>12</v>
      </c>
      <c r="C603" t="s">
        <v>31</v>
      </c>
      <c r="D603" t="s">
        <v>35</v>
      </c>
      <c r="E603">
        <v>87.4</v>
      </c>
      <c r="F603">
        <v>75.900000000000006</v>
      </c>
      <c r="G603" s="11" t="str" cm="1">
        <f t="array" ref="G603">TRIM(RemoveSpecial(D603))</f>
        <v>Economics</v>
      </c>
      <c r="H603" s="11" t="e">
        <f>VLOOKUP(G603,'course-cluster'!$A$2:$C$137,3, FALSE)</f>
        <v>#N/A</v>
      </c>
      <c r="I603" s="12" t="s">
        <v>393</v>
      </c>
    </row>
    <row r="604" spans="1:9" x14ac:dyDescent="0.55000000000000004">
      <c r="A604">
        <v>2019</v>
      </c>
      <c r="B604" t="s">
        <v>103</v>
      </c>
      <c r="C604" t="s">
        <v>517</v>
      </c>
      <c r="D604" t="s">
        <v>495</v>
      </c>
      <c r="E604">
        <v>87.1</v>
      </c>
      <c r="F604">
        <v>81.3</v>
      </c>
      <c r="G604" s="11" t="str" cm="1">
        <f t="array" ref="G604">TRIM(RemoveSpecial(D604))</f>
        <v>Economics</v>
      </c>
      <c r="H604" s="11" t="e">
        <f>VLOOKUP(G604,'course-cluster'!$A$2:$C$137,3, FALSE)</f>
        <v>#N/A</v>
      </c>
      <c r="I604" s="12" t="s">
        <v>393</v>
      </c>
    </row>
    <row r="605" spans="1:9" x14ac:dyDescent="0.55000000000000004">
      <c r="A605">
        <v>2014</v>
      </c>
      <c r="B605" t="s">
        <v>103</v>
      </c>
      <c r="C605" t="s">
        <v>134</v>
      </c>
      <c r="D605" t="s">
        <v>135</v>
      </c>
      <c r="E605">
        <v>90.2</v>
      </c>
      <c r="F605">
        <v>83.9</v>
      </c>
      <c r="G605" s="11" t="str" cm="1">
        <f t="array" ref="G605">TRIM(RemoveSpecial(D605))</f>
        <v>Economics (4-year programme)</v>
      </c>
      <c r="H605" s="11" t="e">
        <f>VLOOKUP(G605,'course-cluster'!$A$2:$C$137,3, FALSE)</f>
        <v>#N/A</v>
      </c>
      <c r="I605" s="12" t="s">
        <v>393</v>
      </c>
    </row>
    <row r="606" spans="1:9" x14ac:dyDescent="0.55000000000000004">
      <c r="A606">
        <v>2014</v>
      </c>
      <c r="B606" t="s">
        <v>103</v>
      </c>
      <c r="C606" t="s">
        <v>134</v>
      </c>
      <c r="D606" t="s">
        <v>136</v>
      </c>
      <c r="E606">
        <v>90.6</v>
      </c>
      <c r="F606">
        <v>89.1</v>
      </c>
      <c r="G606" s="11" t="str" cm="1">
        <f t="array" ref="G606">TRIM(RemoveSpecial(D606))</f>
        <v>Economics (4-year programme) Cum Laude and above</v>
      </c>
      <c r="H606" s="11" t="e">
        <f>VLOOKUP(G606,'course-cluster'!$A$2:$C$137,3, FALSE)</f>
        <v>#N/A</v>
      </c>
      <c r="I606" s="12" t="s">
        <v>393</v>
      </c>
    </row>
    <row r="607" spans="1:9" x14ac:dyDescent="0.55000000000000004">
      <c r="A607">
        <v>2013</v>
      </c>
      <c r="B607" t="s">
        <v>103</v>
      </c>
      <c r="C607" t="s">
        <v>110</v>
      </c>
      <c r="D607" t="s">
        <v>111</v>
      </c>
      <c r="E607">
        <v>90.6</v>
      </c>
      <c r="F607">
        <v>88.6</v>
      </c>
      <c r="G607" s="11" t="str" cm="1">
        <f t="array" ref="G607">TRIM(RemoveSpecial(D607))</f>
        <v>Economics (4-years programme)</v>
      </c>
      <c r="H607" s="11" t="e">
        <f>VLOOKUP(G607,'course-cluster'!$A$2:$C$137,3, FALSE)</f>
        <v>#N/A</v>
      </c>
      <c r="I607" s="12" t="s">
        <v>393</v>
      </c>
    </row>
    <row r="608" spans="1:9" x14ac:dyDescent="0.55000000000000004">
      <c r="A608">
        <v>2013</v>
      </c>
      <c r="B608" t="s">
        <v>103</v>
      </c>
      <c r="C608" t="s">
        <v>110</v>
      </c>
      <c r="D608" t="s">
        <v>112</v>
      </c>
      <c r="E608">
        <v>94</v>
      </c>
      <c r="F608">
        <v>94</v>
      </c>
      <c r="G608" s="11" t="str" cm="1">
        <f t="array" ref="G608">TRIM(RemoveSpecial(D608))</f>
        <v>Economics (4-years programme) Cum Laude and above</v>
      </c>
      <c r="H608" s="11" t="e">
        <f>VLOOKUP(G608,'course-cluster'!$A$2:$C$137,3, FALSE)</f>
        <v>#N/A</v>
      </c>
      <c r="I608" s="12" t="s">
        <v>393</v>
      </c>
    </row>
    <row r="609" spans="1:9" x14ac:dyDescent="0.55000000000000004">
      <c r="A609">
        <v>2018</v>
      </c>
      <c r="B609" t="s">
        <v>103</v>
      </c>
      <c r="C609" t="s">
        <v>134</v>
      </c>
      <c r="D609" t="s">
        <v>342</v>
      </c>
      <c r="E609">
        <v>93.4</v>
      </c>
      <c r="F609">
        <v>89.5</v>
      </c>
      <c r="G609" s="11" t="str" cm="1">
        <f t="array" ref="G609">TRIM(RemoveSpecial(D609))</f>
        <v>Economics (Cum Laude and above)</v>
      </c>
      <c r="H609" s="11" t="e">
        <f>VLOOKUP(G609,'course-cluster'!$A$2:$C$137,3, FALSE)</f>
        <v>#N/A</v>
      </c>
      <c r="I609" s="12" t="s">
        <v>393</v>
      </c>
    </row>
    <row r="610" spans="1:9" x14ac:dyDescent="0.55000000000000004">
      <c r="A610">
        <v>2015</v>
      </c>
      <c r="B610" t="s">
        <v>103</v>
      </c>
      <c r="C610" t="s">
        <v>134</v>
      </c>
      <c r="D610" t="s">
        <v>200</v>
      </c>
      <c r="E610">
        <v>98.2</v>
      </c>
      <c r="F610">
        <v>92.7</v>
      </c>
      <c r="G610" s="11" t="str" cm="1">
        <f t="array" ref="G610">TRIM(RemoveSpecial(D610))</f>
        <v>Economics Cum Laude and above</v>
      </c>
      <c r="H610" s="11" t="e">
        <f>VLOOKUP(G610,'course-cluster'!$A$2:$C$137,3, FALSE)</f>
        <v>#N/A</v>
      </c>
      <c r="I610" s="12" t="s">
        <v>393</v>
      </c>
    </row>
    <row r="611" spans="1:9" x14ac:dyDescent="0.55000000000000004">
      <c r="A611">
        <v>2016</v>
      </c>
      <c r="B611" t="s">
        <v>103</v>
      </c>
      <c r="C611" t="s">
        <v>134</v>
      </c>
      <c r="D611" t="s">
        <v>200</v>
      </c>
      <c r="E611">
        <v>97</v>
      </c>
      <c r="F611">
        <v>92.5</v>
      </c>
      <c r="G611" s="11" t="str" cm="1">
        <f t="array" ref="G611">TRIM(RemoveSpecial(D611))</f>
        <v>Economics Cum Laude and above</v>
      </c>
      <c r="H611" s="11" t="e">
        <f>VLOOKUP(G611,'course-cluster'!$A$2:$C$137,3, FALSE)</f>
        <v>#N/A</v>
      </c>
      <c r="I611" s="12" t="s">
        <v>393</v>
      </c>
    </row>
    <row r="612" spans="1:9" x14ac:dyDescent="0.55000000000000004">
      <c r="A612">
        <v>2017</v>
      </c>
      <c r="B612" t="s">
        <v>103</v>
      </c>
      <c r="C612" t="s">
        <v>110</v>
      </c>
      <c r="D612" t="s">
        <v>200</v>
      </c>
      <c r="E612">
        <v>93.2</v>
      </c>
      <c r="F612">
        <v>90.5</v>
      </c>
      <c r="G612" s="11" t="str" cm="1">
        <f t="array" ref="G612">TRIM(RemoveSpecial(D612))</f>
        <v>Economics Cum Laude and above</v>
      </c>
      <c r="H612" s="11" t="e">
        <f>VLOOKUP(G612,'course-cluster'!$A$2:$C$137,3, FALSE)</f>
        <v>#N/A</v>
      </c>
      <c r="I612" s="12" t="s">
        <v>393</v>
      </c>
    </row>
    <row r="613" spans="1:9" x14ac:dyDescent="0.55000000000000004">
      <c r="A613">
        <v>2013</v>
      </c>
      <c r="B613" t="s">
        <v>12</v>
      </c>
      <c r="C613" t="s">
        <v>18</v>
      </c>
      <c r="D613" t="s">
        <v>25</v>
      </c>
      <c r="E613">
        <v>91</v>
      </c>
      <c r="F613">
        <v>88.7</v>
      </c>
      <c r="G613" s="11" t="str" cm="1">
        <f t="array" ref="G613">TRIM(RemoveSpecial(D613))</f>
        <v>Electrical and Electronic Engineering</v>
      </c>
      <c r="H613" s="11" t="e">
        <f>VLOOKUP(G613,'course-cluster'!$A$2:$C$137,3, FALSE)</f>
        <v>#N/A</v>
      </c>
      <c r="I613" s="12" t="s">
        <v>372</v>
      </c>
    </row>
    <row r="614" spans="1:9" x14ac:dyDescent="0.55000000000000004">
      <c r="A614">
        <v>2019</v>
      </c>
      <c r="B614" t="s">
        <v>12</v>
      </c>
      <c r="C614" t="s">
        <v>18</v>
      </c>
      <c r="D614" t="s">
        <v>486</v>
      </c>
      <c r="E614">
        <v>92.600000000000009</v>
      </c>
      <c r="F614">
        <v>87.1</v>
      </c>
      <c r="G614" s="11" t="str" cm="1">
        <f t="array" ref="G614">TRIM(RemoveSpecial(D614))</f>
        <v>Electrical and Electronic Engineering</v>
      </c>
      <c r="H614" s="11" t="e">
        <f>VLOOKUP(G614,'course-cluster'!$A$2:$C$137,3, FALSE)</f>
        <v>#N/A</v>
      </c>
      <c r="I614" s="12" t="s">
        <v>372</v>
      </c>
    </row>
    <row r="615" spans="1:9" x14ac:dyDescent="0.55000000000000004">
      <c r="A615">
        <v>2014</v>
      </c>
      <c r="B615" t="s">
        <v>12</v>
      </c>
      <c r="C615" t="s">
        <v>18</v>
      </c>
      <c r="D615" t="s">
        <v>25</v>
      </c>
      <c r="E615">
        <v>90.7</v>
      </c>
      <c r="F615">
        <v>88.4</v>
      </c>
      <c r="G615" s="11" t="str" cm="1">
        <f t="array" ref="G615">TRIM(RemoveSpecial(D615))</f>
        <v>Electrical and Electronic Engineering</v>
      </c>
      <c r="H615" s="11" t="e">
        <f>VLOOKUP(G615,'course-cluster'!$A$2:$C$137,3, FALSE)</f>
        <v>#N/A</v>
      </c>
      <c r="I615" s="12" t="s">
        <v>372</v>
      </c>
    </row>
    <row r="616" spans="1:9" x14ac:dyDescent="0.55000000000000004">
      <c r="A616">
        <v>2016</v>
      </c>
      <c r="B616" t="s">
        <v>12</v>
      </c>
      <c r="C616" t="s">
        <v>18</v>
      </c>
      <c r="D616" t="s">
        <v>185</v>
      </c>
      <c r="E616">
        <v>89.1</v>
      </c>
      <c r="F616">
        <v>83.6</v>
      </c>
      <c r="G616" s="11" t="str" cm="1">
        <f t="array" ref="G616">TRIM(RemoveSpecial(D616))</f>
        <v>Electrical And Electronic Engineering</v>
      </c>
      <c r="H616" s="11" t="e">
        <f>VLOOKUP(G616,'course-cluster'!$A$2:$C$137,3, FALSE)</f>
        <v>#N/A</v>
      </c>
      <c r="I616" s="12" t="s">
        <v>372</v>
      </c>
    </row>
    <row r="617" spans="1:9" x14ac:dyDescent="0.55000000000000004">
      <c r="A617">
        <v>2015</v>
      </c>
      <c r="B617" t="s">
        <v>12</v>
      </c>
      <c r="C617" t="s">
        <v>18</v>
      </c>
      <c r="D617" t="s">
        <v>185</v>
      </c>
      <c r="E617">
        <v>88.6</v>
      </c>
      <c r="F617">
        <v>86.2</v>
      </c>
      <c r="G617" s="11" t="str" cm="1">
        <f t="array" ref="G617">TRIM(RemoveSpecial(D617))</f>
        <v>Electrical And Electronic Engineering</v>
      </c>
      <c r="H617" s="11" t="e">
        <f>VLOOKUP(G617,'course-cluster'!$A$2:$C$137,3, FALSE)</f>
        <v>#N/A</v>
      </c>
      <c r="I617" s="12" t="s">
        <v>372</v>
      </c>
    </row>
    <row r="618" spans="1:9" x14ac:dyDescent="0.55000000000000004">
      <c r="A618">
        <v>2018</v>
      </c>
      <c r="B618" t="s">
        <v>12</v>
      </c>
      <c r="C618" t="s">
        <v>18</v>
      </c>
      <c r="D618" t="s">
        <v>307</v>
      </c>
      <c r="E618">
        <v>92.7</v>
      </c>
      <c r="F618">
        <v>91</v>
      </c>
      <c r="G618" s="11" t="str" cm="1">
        <f t="array" ref="G618">TRIM(RemoveSpecial(D618))</f>
        <v>Electrical Electronic Engineering</v>
      </c>
      <c r="H618" s="11" t="e">
        <f>VLOOKUP(G618,'course-cluster'!$A$2:$C$137,3, FALSE)</f>
        <v>#N/A</v>
      </c>
      <c r="I618" s="12" t="s">
        <v>372</v>
      </c>
    </row>
    <row r="619" spans="1:9" x14ac:dyDescent="0.55000000000000004">
      <c r="A619">
        <v>2015</v>
      </c>
      <c r="B619" t="s">
        <v>12</v>
      </c>
      <c r="C619" t="s">
        <v>31</v>
      </c>
      <c r="D619" t="s">
        <v>36</v>
      </c>
      <c r="E619">
        <v>88</v>
      </c>
      <c r="F619">
        <v>74</v>
      </c>
      <c r="G619" s="11" t="str" cm="1">
        <f t="array" ref="G619">TRIM(RemoveSpecial(D619))</f>
        <v>English</v>
      </c>
      <c r="H619" s="11" t="e">
        <f>VLOOKUP(G619,'course-cluster'!$A$2:$C$137,3, FALSE)</f>
        <v>#N/A</v>
      </c>
      <c r="I619" s="12" t="s">
        <v>393</v>
      </c>
    </row>
    <row r="620" spans="1:9" x14ac:dyDescent="0.55000000000000004">
      <c r="A620">
        <v>2014</v>
      </c>
      <c r="B620" t="s">
        <v>12</v>
      </c>
      <c r="C620" t="s">
        <v>31</v>
      </c>
      <c r="D620" t="s">
        <v>36</v>
      </c>
      <c r="E620">
        <v>87</v>
      </c>
      <c r="F620">
        <v>63</v>
      </c>
      <c r="G620" s="11" t="str" cm="1">
        <f t="array" ref="G620">TRIM(RemoveSpecial(D620))</f>
        <v>English</v>
      </c>
      <c r="H620" s="11" t="e">
        <f>VLOOKUP(G620,'course-cluster'!$A$2:$C$137,3, FALSE)</f>
        <v>#N/A</v>
      </c>
      <c r="I620" s="12" t="s">
        <v>393</v>
      </c>
    </row>
    <row r="621" spans="1:9" x14ac:dyDescent="0.55000000000000004">
      <c r="A621">
        <v>2019</v>
      </c>
      <c r="B621" t="s">
        <v>12</v>
      </c>
      <c r="C621" t="s">
        <v>31</v>
      </c>
      <c r="D621" t="s">
        <v>496</v>
      </c>
      <c r="E621">
        <v>83.8</v>
      </c>
      <c r="F621">
        <v>64.900000000000006</v>
      </c>
      <c r="G621" s="11" t="str" cm="1">
        <f t="array" ref="G621">TRIM(RemoveSpecial(D621))</f>
        <v>English</v>
      </c>
      <c r="H621" s="11" t="e">
        <f>VLOOKUP(G621,'course-cluster'!$A$2:$C$137,3, FALSE)</f>
        <v>#N/A</v>
      </c>
      <c r="I621" s="12" t="s">
        <v>393</v>
      </c>
    </row>
    <row r="622" spans="1:9" x14ac:dyDescent="0.55000000000000004">
      <c r="A622">
        <v>2013</v>
      </c>
      <c r="B622" t="s">
        <v>12</v>
      </c>
      <c r="C622" t="s">
        <v>31</v>
      </c>
      <c r="D622" t="s">
        <v>36</v>
      </c>
      <c r="E622">
        <v>82.7</v>
      </c>
      <c r="F622">
        <v>67.3</v>
      </c>
      <c r="G622" s="11" t="str" cm="1">
        <f t="array" ref="G622">TRIM(RemoveSpecial(D622))</f>
        <v>English</v>
      </c>
      <c r="H622" s="11" t="e">
        <f>VLOOKUP(G622,'course-cluster'!$A$2:$C$137,3, FALSE)</f>
        <v>#N/A</v>
      </c>
      <c r="I622" s="12" t="s">
        <v>393</v>
      </c>
    </row>
    <row r="623" spans="1:9" x14ac:dyDescent="0.55000000000000004">
      <c r="A623">
        <v>2018</v>
      </c>
      <c r="B623" t="s">
        <v>12</v>
      </c>
      <c r="C623" t="s">
        <v>31</v>
      </c>
      <c r="D623" t="s">
        <v>36</v>
      </c>
      <c r="E623">
        <v>81.599999999999994</v>
      </c>
      <c r="F623">
        <v>59.2</v>
      </c>
      <c r="G623" s="11" t="str" cm="1">
        <f t="array" ref="G623">TRIM(RemoveSpecial(D623))</f>
        <v>English</v>
      </c>
      <c r="H623" s="11" t="e">
        <f>VLOOKUP(G623,'course-cluster'!$A$2:$C$137,3, FALSE)</f>
        <v>#N/A</v>
      </c>
      <c r="I623" s="12" t="s">
        <v>393</v>
      </c>
    </row>
    <row r="624" spans="1:9" x14ac:dyDescent="0.55000000000000004">
      <c r="A624">
        <v>2016</v>
      </c>
      <c r="B624" t="s">
        <v>12</v>
      </c>
      <c r="C624" t="s">
        <v>31</v>
      </c>
      <c r="D624" t="s">
        <v>36</v>
      </c>
      <c r="E624">
        <v>75</v>
      </c>
      <c r="F624">
        <v>54.2</v>
      </c>
      <c r="G624" s="11" t="str" cm="1">
        <f t="array" ref="G624">TRIM(RemoveSpecial(D624))</f>
        <v>English</v>
      </c>
      <c r="H624" s="11" t="e">
        <f>VLOOKUP(G624,'course-cluster'!$A$2:$C$137,3, FALSE)</f>
        <v>#N/A</v>
      </c>
      <c r="I624" s="12" t="s">
        <v>393</v>
      </c>
    </row>
    <row r="625" spans="1:9" x14ac:dyDescent="0.55000000000000004">
      <c r="A625">
        <v>2018</v>
      </c>
      <c r="B625" t="s">
        <v>12</v>
      </c>
      <c r="C625" t="s">
        <v>40</v>
      </c>
      <c r="D625" t="s">
        <v>313</v>
      </c>
      <c r="E625">
        <v>76.2</v>
      </c>
      <c r="F625">
        <v>57.1</v>
      </c>
      <c r="G625" s="11" t="str" cm="1">
        <f t="array" ref="G625">TRIM(RemoveSpecial(D625))</f>
        <v>Environmental Earth Systems Science</v>
      </c>
      <c r="H625" s="11" t="e">
        <f>VLOOKUP(G625,'course-cluster'!$A$2:$C$137,3, FALSE)</f>
        <v>#N/A</v>
      </c>
      <c r="I625" s="12" t="s">
        <v>390</v>
      </c>
    </row>
    <row r="626" spans="1:9" x14ac:dyDescent="0.55000000000000004">
      <c r="A626">
        <v>2019</v>
      </c>
      <c r="B626" t="s">
        <v>12</v>
      </c>
      <c r="C626" t="s">
        <v>503</v>
      </c>
      <c r="D626" t="s">
        <v>511</v>
      </c>
      <c r="E626">
        <v>87.5</v>
      </c>
      <c r="F626">
        <v>79.2</v>
      </c>
      <c r="G626" s="11" t="str" cm="1">
        <f t="array" ref="G626">TRIM(RemoveSpecial(D626))</f>
        <v>Environmental Earth Systems Sciences</v>
      </c>
      <c r="H626" s="11" t="e">
        <f>VLOOKUP(G626,'course-cluster'!$A$2:$C$137,3, FALSE)</f>
        <v>#N/A</v>
      </c>
      <c r="I626" s="12" t="s">
        <v>390</v>
      </c>
    </row>
    <row r="627" spans="1:9" x14ac:dyDescent="0.55000000000000004">
      <c r="A627">
        <v>2013</v>
      </c>
      <c r="B627" t="s">
        <v>12</v>
      </c>
      <c r="C627" t="s">
        <v>18</v>
      </c>
      <c r="D627" t="s">
        <v>26</v>
      </c>
      <c r="E627">
        <v>84</v>
      </c>
      <c r="F627">
        <v>81.5</v>
      </c>
      <c r="G627" s="11" t="str" cm="1">
        <f t="array" ref="G627">TRIM(RemoveSpecial(D627))</f>
        <v>Environmental Engineering</v>
      </c>
      <c r="H627" s="11" t="e">
        <f>VLOOKUP(G627,'course-cluster'!$A$2:$C$137,3, FALSE)</f>
        <v>#N/A</v>
      </c>
      <c r="I627" s="12" t="s">
        <v>372</v>
      </c>
    </row>
    <row r="628" spans="1:9" x14ac:dyDescent="0.55000000000000004">
      <c r="A628">
        <v>2018</v>
      </c>
      <c r="B628" t="s">
        <v>12</v>
      </c>
      <c r="C628" t="s">
        <v>18</v>
      </c>
      <c r="D628" t="s">
        <v>26</v>
      </c>
      <c r="E628">
        <v>92.1</v>
      </c>
      <c r="F628">
        <v>81.599999999999994</v>
      </c>
      <c r="G628" s="11" t="str" cm="1">
        <f t="array" ref="G628">TRIM(RemoveSpecial(D628))</f>
        <v>Environmental Engineering</v>
      </c>
      <c r="H628" s="11" t="e">
        <f>VLOOKUP(G628,'course-cluster'!$A$2:$C$137,3, FALSE)</f>
        <v>#N/A</v>
      </c>
      <c r="I628" s="12" t="s">
        <v>372</v>
      </c>
    </row>
    <row r="629" spans="1:9" x14ac:dyDescent="0.55000000000000004">
      <c r="A629">
        <v>2015</v>
      </c>
      <c r="B629" t="s">
        <v>12</v>
      </c>
      <c r="C629" t="s">
        <v>18</v>
      </c>
      <c r="D629" t="s">
        <v>26</v>
      </c>
      <c r="E629">
        <v>89.7</v>
      </c>
      <c r="F629">
        <v>82.1</v>
      </c>
      <c r="G629" s="11" t="str" cm="1">
        <f t="array" ref="G629">TRIM(RemoveSpecial(D629))</f>
        <v>Environmental Engineering</v>
      </c>
      <c r="H629" s="11" t="e">
        <f>VLOOKUP(G629,'course-cluster'!$A$2:$C$137,3, FALSE)</f>
        <v>#N/A</v>
      </c>
      <c r="I629" s="12" t="s">
        <v>372</v>
      </c>
    </row>
    <row r="630" spans="1:9" x14ac:dyDescent="0.55000000000000004">
      <c r="A630">
        <v>2014</v>
      </c>
      <c r="B630" t="s">
        <v>12</v>
      </c>
      <c r="C630" t="s">
        <v>18</v>
      </c>
      <c r="D630" t="s">
        <v>26</v>
      </c>
      <c r="E630">
        <v>88.9</v>
      </c>
      <c r="F630">
        <v>82.2</v>
      </c>
      <c r="G630" s="11" t="str" cm="1">
        <f t="array" ref="G630">TRIM(RemoveSpecial(D630))</f>
        <v>Environmental Engineering</v>
      </c>
      <c r="H630" s="11" t="e">
        <f>VLOOKUP(G630,'course-cluster'!$A$2:$C$137,3, FALSE)</f>
        <v>#N/A</v>
      </c>
      <c r="I630" s="12" t="s">
        <v>372</v>
      </c>
    </row>
    <row r="631" spans="1:9" x14ac:dyDescent="0.55000000000000004">
      <c r="A631">
        <v>2019</v>
      </c>
      <c r="B631" t="s">
        <v>12</v>
      </c>
      <c r="C631" t="s">
        <v>18</v>
      </c>
      <c r="D631" t="s">
        <v>487</v>
      </c>
      <c r="E631">
        <v>83.899999999999991</v>
      </c>
      <c r="F631">
        <v>77.400000000000006</v>
      </c>
      <c r="G631" s="11" t="str" cm="1">
        <f t="array" ref="G631">TRIM(RemoveSpecial(D631))</f>
        <v>Environmental Engineering</v>
      </c>
      <c r="H631" s="11" t="e">
        <f>VLOOKUP(G631,'course-cluster'!$A$2:$C$137,3, FALSE)</f>
        <v>#N/A</v>
      </c>
      <c r="I631" s="12" t="s">
        <v>372</v>
      </c>
    </row>
    <row r="632" spans="1:9" x14ac:dyDescent="0.55000000000000004">
      <c r="A632">
        <v>2016</v>
      </c>
      <c r="B632" t="s">
        <v>12</v>
      </c>
      <c r="C632" t="s">
        <v>18</v>
      </c>
      <c r="D632" t="s">
        <v>26</v>
      </c>
      <c r="E632">
        <v>80.599999999999994</v>
      </c>
      <c r="F632">
        <v>74.2</v>
      </c>
      <c r="G632" s="11" t="str" cm="1">
        <f t="array" ref="G632">TRIM(RemoveSpecial(D632))</f>
        <v>Environmental Engineering</v>
      </c>
      <c r="H632" s="11" t="e">
        <f>VLOOKUP(G632,'course-cluster'!$A$2:$C$137,3, FALSE)</f>
        <v>#N/A</v>
      </c>
      <c r="I632" s="12" t="s">
        <v>372</v>
      </c>
    </row>
    <row r="633" spans="1:9" x14ac:dyDescent="0.55000000000000004">
      <c r="A633">
        <v>2016</v>
      </c>
      <c r="B633" t="s">
        <v>12</v>
      </c>
      <c r="C633" t="s">
        <v>31</v>
      </c>
      <c r="D633" t="s">
        <v>221</v>
      </c>
      <c r="E633">
        <v>87.2</v>
      </c>
      <c r="F633">
        <v>76.599999999999994</v>
      </c>
      <c r="G633" s="11" t="str" cm="1">
        <f t="array" ref="G633">TRIM(RemoveSpecial(D633))</f>
        <v>History</v>
      </c>
      <c r="H633" s="11" t="e">
        <f>VLOOKUP(G633,'course-cluster'!$A$2:$C$137,3, FALSE)</f>
        <v>#N/A</v>
      </c>
      <c r="I633" s="12" t="s">
        <v>393</v>
      </c>
    </row>
    <row r="634" spans="1:9" x14ac:dyDescent="0.55000000000000004">
      <c r="A634">
        <v>2018</v>
      </c>
      <c r="B634" t="s">
        <v>12</v>
      </c>
      <c r="C634" t="s">
        <v>31</v>
      </c>
      <c r="D634" t="s">
        <v>221</v>
      </c>
      <c r="E634">
        <v>74.400000000000006</v>
      </c>
      <c r="F634">
        <v>56.4</v>
      </c>
      <c r="G634" s="11" t="str" cm="1">
        <f t="array" ref="G634">TRIM(RemoveSpecial(D634))</f>
        <v>History</v>
      </c>
      <c r="H634" s="11" t="e">
        <f>VLOOKUP(G634,'course-cluster'!$A$2:$C$137,3, FALSE)</f>
        <v>#N/A</v>
      </c>
      <c r="I634" s="12" t="s">
        <v>393</v>
      </c>
    </row>
    <row r="635" spans="1:9" x14ac:dyDescent="0.55000000000000004">
      <c r="A635">
        <v>2019</v>
      </c>
      <c r="B635" t="s">
        <v>12</v>
      </c>
      <c r="C635" t="s">
        <v>31</v>
      </c>
      <c r="D635" t="s">
        <v>497</v>
      </c>
      <c r="E635">
        <v>73</v>
      </c>
      <c r="F635">
        <v>56.8</v>
      </c>
      <c r="G635" s="11" t="str" cm="1">
        <f t="array" ref="G635">TRIM(RemoveSpecial(D635))</f>
        <v>History</v>
      </c>
      <c r="H635" s="11" t="e">
        <f>VLOOKUP(G635,'course-cluster'!$A$2:$C$137,3, FALSE)</f>
        <v>#N/A</v>
      </c>
      <c r="I635" s="12" t="s">
        <v>393</v>
      </c>
    </row>
    <row r="636" spans="1:9" x14ac:dyDescent="0.55000000000000004">
      <c r="A636">
        <v>2013</v>
      </c>
      <c r="B636" t="s">
        <v>12</v>
      </c>
      <c r="C636" t="s">
        <v>18</v>
      </c>
      <c r="D636" t="s">
        <v>27</v>
      </c>
      <c r="E636">
        <v>85.7</v>
      </c>
      <c r="F636">
        <v>79.599999999999994</v>
      </c>
      <c r="G636" s="11" t="str" cm="1">
        <f t="array" ref="G636">TRIM(RemoveSpecial(D636))</f>
        <v>Information Engineering and Media</v>
      </c>
      <c r="H636" s="11" t="e">
        <f>VLOOKUP(G636,'course-cluster'!$A$2:$C$137,3, FALSE)</f>
        <v>#N/A</v>
      </c>
      <c r="I636" s="12" t="s">
        <v>372</v>
      </c>
    </row>
    <row r="637" spans="1:9" x14ac:dyDescent="0.55000000000000004">
      <c r="A637">
        <v>2016</v>
      </c>
      <c r="B637" t="s">
        <v>12</v>
      </c>
      <c r="C637" t="s">
        <v>18</v>
      </c>
      <c r="D637" t="s">
        <v>187</v>
      </c>
      <c r="E637">
        <v>94.6</v>
      </c>
      <c r="F637">
        <v>87.5</v>
      </c>
      <c r="G637" s="11" t="str" cm="1">
        <f t="array" ref="G637">TRIM(RemoveSpecial(D637))</f>
        <v>Information Engineering And Media</v>
      </c>
      <c r="H637" s="11" t="e">
        <f>VLOOKUP(G637,'course-cluster'!$A$2:$C$137,3, FALSE)</f>
        <v>#N/A</v>
      </c>
      <c r="I637" s="12" t="s">
        <v>372</v>
      </c>
    </row>
    <row r="638" spans="1:9" x14ac:dyDescent="0.55000000000000004">
      <c r="A638">
        <v>2019</v>
      </c>
      <c r="B638" t="s">
        <v>12</v>
      </c>
      <c r="C638" t="s">
        <v>18</v>
      </c>
      <c r="D638" t="s">
        <v>488</v>
      </c>
      <c r="E638">
        <v>90.7</v>
      </c>
      <c r="F638">
        <v>85.3</v>
      </c>
      <c r="G638" s="11" t="str" cm="1">
        <f t="array" ref="G638">TRIM(RemoveSpecial(D638))</f>
        <v>Information Engineering and Media</v>
      </c>
      <c r="H638" s="11" t="e">
        <f>VLOOKUP(G638,'course-cluster'!$A$2:$C$137,3, FALSE)</f>
        <v>#N/A</v>
      </c>
      <c r="I638" s="12" t="s">
        <v>372</v>
      </c>
    </row>
    <row r="639" spans="1:9" x14ac:dyDescent="0.55000000000000004">
      <c r="A639">
        <v>2015</v>
      </c>
      <c r="B639" t="s">
        <v>12</v>
      </c>
      <c r="C639" t="s">
        <v>18</v>
      </c>
      <c r="D639" t="s">
        <v>187</v>
      </c>
      <c r="E639">
        <v>87.3</v>
      </c>
      <c r="F639">
        <v>80</v>
      </c>
      <c r="G639" s="11" t="str" cm="1">
        <f t="array" ref="G639">TRIM(RemoveSpecial(D639))</f>
        <v>Information Engineering And Media</v>
      </c>
      <c r="H639" s="11" t="e">
        <f>VLOOKUP(G639,'course-cluster'!$A$2:$C$137,3, FALSE)</f>
        <v>#N/A</v>
      </c>
      <c r="I639" s="12" t="s">
        <v>372</v>
      </c>
    </row>
    <row r="640" spans="1:9" x14ac:dyDescent="0.55000000000000004">
      <c r="A640">
        <v>2014</v>
      </c>
      <c r="B640" t="s">
        <v>12</v>
      </c>
      <c r="C640" t="s">
        <v>18</v>
      </c>
      <c r="D640" t="s">
        <v>27</v>
      </c>
      <c r="E640">
        <v>85.7</v>
      </c>
      <c r="F640">
        <v>73.2</v>
      </c>
      <c r="G640" s="11" t="str" cm="1">
        <f t="array" ref="G640">TRIM(RemoveSpecial(D640))</f>
        <v>Information Engineering and Media</v>
      </c>
      <c r="H640" s="11" t="e">
        <f>VLOOKUP(G640,'course-cluster'!$A$2:$C$137,3, FALSE)</f>
        <v>#N/A</v>
      </c>
      <c r="I640" s="12" t="s">
        <v>372</v>
      </c>
    </row>
    <row r="641" spans="1:9" x14ac:dyDescent="0.55000000000000004">
      <c r="A641">
        <v>2018</v>
      </c>
      <c r="B641" t="s">
        <v>12</v>
      </c>
      <c r="C641" t="s">
        <v>18</v>
      </c>
      <c r="D641" t="s">
        <v>308</v>
      </c>
      <c r="E641">
        <v>93.2</v>
      </c>
      <c r="F641">
        <v>89</v>
      </c>
      <c r="G641" s="11" t="str" cm="1">
        <f t="array" ref="G641">TRIM(RemoveSpecial(D641))</f>
        <v>Information Engineering Media</v>
      </c>
      <c r="H641" s="11" t="e">
        <f>VLOOKUP(G641,'course-cluster'!$A$2:$C$137,3, FALSE)</f>
        <v>#N/A</v>
      </c>
      <c r="I641" s="12" t="s">
        <v>372</v>
      </c>
    </row>
    <row r="642" spans="1:9" x14ac:dyDescent="0.55000000000000004">
      <c r="A642">
        <v>2019</v>
      </c>
      <c r="B642" t="s">
        <v>103</v>
      </c>
      <c r="C642" t="s">
        <v>518</v>
      </c>
      <c r="D642" t="s">
        <v>522</v>
      </c>
      <c r="E642">
        <v>95.1</v>
      </c>
      <c r="F642">
        <v>90.2</v>
      </c>
      <c r="G642" s="11" t="str" cm="1">
        <f t="array" ref="G642">TRIM(RemoveSpecial(D642))</f>
        <v>Information Systems</v>
      </c>
      <c r="H642" s="11" t="e">
        <f>VLOOKUP(G642,'course-cluster'!$A$2:$C$137,3, FALSE)</f>
        <v>#N/A</v>
      </c>
      <c r="I642" s="12" t="s">
        <v>409</v>
      </c>
    </row>
    <row r="643" spans="1:9" x14ac:dyDescent="0.55000000000000004">
      <c r="A643">
        <v>2018</v>
      </c>
      <c r="B643" t="s">
        <v>103</v>
      </c>
      <c r="C643" t="s">
        <v>137</v>
      </c>
      <c r="D643" t="s">
        <v>343</v>
      </c>
      <c r="E643">
        <v>93.6</v>
      </c>
      <c r="F643">
        <v>89.5</v>
      </c>
      <c r="G643" s="11" t="str" cm="1">
        <f t="array" ref="G643">TRIM(RemoveSpecial(D643))</f>
        <v>Information Systems</v>
      </c>
      <c r="H643" s="11" t="e">
        <f>VLOOKUP(G643,'course-cluster'!$A$2:$C$137,3, FALSE)</f>
        <v>#N/A</v>
      </c>
      <c r="I643" s="12" t="s">
        <v>409</v>
      </c>
    </row>
    <row r="644" spans="1:9" x14ac:dyDescent="0.55000000000000004">
      <c r="A644">
        <v>2018</v>
      </c>
      <c r="B644" t="s">
        <v>103</v>
      </c>
      <c r="C644" t="s">
        <v>137</v>
      </c>
      <c r="D644" t="s">
        <v>344</v>
      </c>
      <c r="E644">
        <v>100</v>
      </c>
      <c r="F644">
        <v>97.2</v>
      </c>
      <c r="G644" s="11" t="str" cm="1">
        <f t="array" ref="G644">TRIM(RemoveSpecial(D644))</f>
        <v>Information Systems (Cum Laude and above)</v>
      </c>
      <c r="H644" s="11" t="e">
        <f>VLOOKUP(G644,'course-cluster'!$A$2:$C$137,3, FALSE)</f>
        <v>#N/A</v>
      </c>
      <c r="I644" s="12" t="s">
        <v>409</v>
      </c>
    </row>
    <row r="645" spans="1:9" x14ac:dyDescent="0.55000000000000004">
      <c r="A645">
        <v>2016</v>
      </c>
      <c r="B645" t="s">
        <v>103</v>
      </c>
      <c r="C645" t="s">
        <v>137</v>
      </c>
      <c r="D645" t="s">
        <v>201</v>
      </c>
      <c r="E645">
        <v>95.7</v>
      </c>
      <c r="F645">
        <v>91.5</v>
      </c>
      <c r="G645" s="11" t="str" cm="1">
        <f t="array" ref="G645">TRIM(RemoveSpecial(D645))</f>
        <v>Information Systems Management</v>
      </c>
      <c r="H645" s="11" t="e">
        <f>VLOOKUP(G645,'course-cluster'!$A$2:$C$137,3, FALSE)</f>
        <v>#N/A</v>
      </c>
      <c r="I645" s="12" t="s">
        <v>409</v>
      </c>
    </row>
    <row r="646" spans="1:9" x14ac:dyDescent="0.55000000000000004">
      <c r="A646">
        <v>2017</v>
      </c>
      <c r="B646" t="s">
        <v>103</v>
      </c>
      <c r="C646" t="s">
        <v>113</v>
      </c>
      <c r="D646" t="s">
        <v>201</v>
      </c>
      <c r="E646">
        <v>95.1</v>
      </c>
      <c r="F646">
        <v>91.3</v>
      </c>
      <c r="G646" s="11" t="str" cm="1">
        <f t="array" ref="G646">TRIM(RemoveSpecial(D646))</f>
        <v>Information Systems Management</v>
      </c>
      <c r="H646" s="11" t="e">
        <f>VLOOKUP(G646,'course-cluster'!$A$2:$C$137,3, FALSE)</f>
        <v>#N/A</v>
      </c>
      <c r="I646" s="12" t="s">
        <v>409</v>
      </c>
    </row>
    <row r="647" spans="1:9" x14ac:dyDescent="0.55000000000000004">
      <c r="A647">
        <v>2015</v>
      </c>
      <c r="B647" t="s">
        <v>103</v>
      </c>
      <c r="C647" t="s">
        <v>137</v>
      </c>
      <c r="D647" t="s">
        <v>201</v>
      </c>
      <c r="E647">
        <v>94.8</v>
      </c>
      <c r="F647">
        <v>85.9</v>
      </c>
      <c r="G647" s="11" t="str" cm="1">
        <f t="array" ref="G647">TRIM(RemoveSpecial(D647))</f>
        <v>Information Systems Management</v>
      </c>
      <c r="H647" s="11" t="e">
        <f>VLOOKUP(G647,'course-cluster'!$A$2:$C$137,3, FALSE)</f>
        <v>#N/A</v>
      </c>
      <c r="I647" s="12" t="s">
        <v>409</v>
      </c>
    </row>
    <row r="648" spans="1:9" x14ac:dyDescent="0.55000000000000004">
      <c r="A648">
        <v>2014</v>
      </c>
      <c r="B648" t="s">
        <v>103</v>
      </c>
      <c r="C648" t="s">
        <v>137</v>
      </c>
      <c r="D648" t="s">
        <v>138</v>
      </c>
      <c r="E648">
        <v>92.9</v>
      </c>
      <c r="F648">
        <v>80.599999999999994</v>
      </c>
      <c r="G648" s="11" t="str" cm="1">
        <f t="array" ref="G648">TRIM(RemoveSpecial(D648))</f>
        <v>Information Systems Management (4-year programme)</v>
      </c>
      <c r="H648" s="11" t="e">
        <f>VLOOKUP(G648,'course-cluster'!$A$2:$C$137,3, FALSE)</f>
        <v>#N/A</v>
      </c>
      <c r="I648" s="12" t="s">
        <v>409</v>
      </c>
    </row>
    <row r="649" spans="1:9" x14ac:dyDescent="0.55000000000000004">
      <c r="A649">
        <v>2014</v>
      </c>
      <c r="B649" t="s">
        <v>103</v>
      </c>
      <c r="C649" t="s">
        <v>137</v>
      </c>
      <c r="D649" t="s">
        <v>139</v>
      </c>
      <c r="E649">
        <v>97.4</v>
      </c>
      <c r="F649">
        <v>84.2</v>
      </c>
      <c r="G649" s="11" t="str" cm="1">
        <f t="array" ref="G649">TRIM(RemoveSpecial(D649))</f>
        <v>Information Systems Management (4-year programme) Cum Laude and above</v>
      </c>
      <c r="H649" s="11" t="e">
        <f>VLOOKUP(G649,'course-cluster'!$A$2:$C$137,3, FALSE)</f>
        <v>#N/A</v>
      </c>
      <c r="I649" s="12" t="s">
        <v>409</v>
      </c>
    </row>
    <row r="650" spans="1:9" x14ac:dyDescent="0.55000000000000004">
      <c r="A650">
        <v>2013</v>
      </c>
      <c r="B650" t="s">
        <v>103</v>
      </c>
      <c r="C650" t="s">
        <v>113</v>
      </c>
      <c r="D650" t="s">
        <v>114</v>
      </c>
      <c r="E650">
        <v>93.6</v>
      </c>
      <c r="F650">
        <v>89.5</v>
      </c>
      <c r="G650" s="11" t="str" cm="1">
        <f t="array" ref="G650">TRIM(RemoveSpecial(D650))</f>
        <v>Information Systems Management (4-years programme)</v>
      </c>
      <c r="H650" s="11" t="e">
        <f>VLOOKUP(G650,'course-cluster'!$A$2:$C$137,3, FALSE)</f>
        <v>#N/A</v>
      </c>
      <c r="I650" s="12" t="s">
        <v>409</v>
      </c>
    </row>
    <row r="651" spans="1:9" x14ac:dyDescent="0.55000000000000004">
      <c r="A651">
        <v>2013</v>
      </c>
      <c r="B651" t="s">
        <v>103</v>
      </c>
      <c r="C651" t="s">
        <v>113</v>
      </c>
      <c r="D651" t="s">
        <v>115</v>
      </c>
      <c r="E651">
        <v>100</v>
      </c>
      <c r="F651">
        <v>90.9</v>
      </c>
      <c r="G651" s="11" t="str" cm="1">
        <f t="array" ref="G651">TRIM(RemoveSpecial(D651))</f>
        <v>Information Systems Management (4-years programme) Cum Laude and above</v>
      </c>
      <c r="H651" s="11" t="e">
        <f>VLOOKUP(G651,'course-cluster'!$A$2:$C$137,3, FALSE)</f>
        <v>#N/A</v>
      </c>
      <c r="I651" s="12" t="s">
        <v>409</v>
      </c>
    </row>
    <row r="652" spans="1:9" x14ac:dyDescent="0.55000000000000004">
      <c r="A652">
        <v>2016</v>
      </c>
      <c r="B652" t="s">
        <v>103</v>
      </c>
      <c r="C652" t="s">
        <v>137</v>
      </c>
      <c r="D652" t="s">
        <v>202</v>
      </c>
      <c r="E652">
        <v>97.5</v>
      </c>
      <c r="F652">
        <v>95</v>
      </c>
      <c r="G652" s="11" t="str" cm="1">
        <f t="array" ref="G652">TRIM(RemoveSpecial(D652))</f>
        <v>Information Systems Management Cum Laude and above</v>
      </c>
      <c r="H652" s="11" t="e">
        <f>VLOOKUP(G652,'course-cluster'!$A$2:$C$137,3, FALSE)</f>
        <v>#N/A</v>
      </c>
      <c r="I652" s="12" t="s">
        <v>409</v>
      </c>
    </row>
    <row r="653" spans="1:9" x14ac:dyDescent="0.55000000000000004">
      <c r="A653">
        <v>2015</v>
      </c>
      <c r="B653" t="s">
        <v>103</v>
      </c>
      <c r="C653" t="s">
        <v>137</v>
      </c>
      <c r="D653" t="s">
        <v>202</v>
      </c>
      <c r="E653">
        <v>97.4</v>
      </c>
      <c r="F653">
        <v>92.1</v>
      </c>
      <c r="G653" s="11" t="str" cm="1">
        <f t="array" ref="G653">TRIM(RemoveSpecial(D653))</f>
        <v>Information Systems Management Cum Laude and above</v>
      </c>
      <c r="H653" s="11" t="e">
        <f>VLOOKUP(G653,'course-cluster'!$A$2:$C$137,3, FALSE)</f>
        <v>#N/A</v>
      </c>
      <c r="I653" s="12" t="s">
        <v>409</v>
      </c>
    </row>
    <row r="654" spans="1:9" x14ac:dyDescent="0.55000000000000004">
      <c r="A654">
        <v>2017</v>
      </c>
      <c r="B654" t="s">
        <v>103</v>
      </c>
      <c r="C654" t="s">
        <v>113</v>
      </c>
      <c r="D654" t="s">
        <v>202</v>
      </c>
      <c r="E654">
        <v>96.1</v>
      </c>
      <c r="F654">
        <v>94.1</v>
      </c>
      <c r="G654" s="11" t="str" cm="1">
        <f t="array" ref="G654">TRIM(RemoveSpecial(D654))</f>
        <v>Information Systems Management Cum Laude and above</v>
      </c>
      <c r="H654" s="11" t="e">
        <f>VLOOKUP(G654,'course-cluster'!$A$2:$C$137,3, FALSE)</f>
        <v>#N/A</v>
      </c>
      <c r="I654" s="12" t="s">
        <v>409</v>
      </c>
    </row>
    <row r="655" spans="1:9" x14ac:dyDescent="0.55000000000000004">
      <c r="A655">
        <v>2015</v>
      </c>
      <c r="B655" t="s">
        <v>103</v>
      </c>
      <c r="C655" t="s">
        <v>143</v>
      </c>
      <c r="D655" t="s">
        <v>205</v>
      </c>
      <c r="E655">
        <v>99</v>
      </c>
      <c r="F655">
        <v>99</v>
      </c>
      <c r="G655" s="11" t="str" cm="1">
        <f t="array" ref="G655">TRIM(RemoveSpecial(D655))</f>
        <v>Law</v>
      </c>
      <c r="H655" s="11" t="e">
        <f>VLOOKUP(G655,'course-cluster'!$A$2:$C$137,3, FALSE)</f>
        <v>#N/A</v>
      </c>
      <c r="I655" s="12" t="s">
        <v>393</v>
      </c>
    </row>
    <row r="656" spans="1:9" x14ac:dyDescent="0.55000000000000004">
      <c r="A656">
        <v>2017</v>
      </c>
      <c r="B656" t="s">
        <v>103</v>
      </c>
      <c r="C656" t="s">
        <v>119</v>
      </c>
      <c r="D656" t="s">
        <v>205</v>
      </c>
      <c r="E656">
        <v>97.6</v>
      </c>
      <c r="F656">
        <v>94</v>
      </c>
      <c r="G656" s="11" t="str" cm="1">
        <f t="array" ref="G656">TRIM(RemoveSpecial(D656))</f>
        <v>Law</v>
      </c>
      <c r="H656" s="11" t="e">
        <f>VLOOKUP(G656,'course-cluster'!$A$2:$C$137,3, FALSE)</f>
        <v>#N/A</v>
      </c>
      <c r="I656" s="12" t="s">
        <v>393</v>
      </c>
    </row>
    <row r="657" spans="1:9" x14ac:dyDescent="0.55000000000000004">
      <c r="A657">
        <v>2016</v>
      </c>
      <c r="B657" t="s">
        <v>103</v>
      </c>
      <c r="C657" t="s">
        <v>143</v>
      </c>
      <c r="D657" t="s">
        <v>205</v>
      </c>
      <c r="E657">
        <v>95.8</v>
      </c>
      <c r="F657">
        <v>93.7</v>
      </c>
      <c r="G657" s="11" t="str" cm="1">
        <f t="array" ref="G657">TRIM(RemoveSpecial(D657))</f>
        <v>Law</v>
      </c>
      <c r="H657" s="11" t="e">
        <f>VLOOKUP(G657,'course-cluster'!$A$2:$C$137,3, FALSE)</f>
        <v>#N/A</v>
      </c>
      <c r="I657" s="12" t="s">
        <v>393</v>
      </c>
    </row>
    <row r="658" spans="1:9" x14ac:dyDescent="0.55000000000000004">
      <c r="A658">
        <v>2018</v>
      </c>
      <c r="B658" t="s">
        <v>103</v>
      </c>
      <c r="C658" t="s">
        <v>143</v>
      </c>
      <c r="D658" t="s">
        <v>205</v>
      </c>
      <c r="E658">
        <v>92.7</v>
      </c>
      <c r="F658">
        <v>90.8</v>
      </c>
      <c r="G658" s="11" t="str" cm="1">
        <f t="array" ref="G658">TRIM(RemoveSpecial(D658))</f>
        <v>Law</v>
      </c>
      <c r="H658" s="11" t="e">
        <f>VLOOKUP(G658,'course-cluster'!$A$2:$C$137,3, FALSE)</f>
        <v>#N/A</v>
      </c>
      <c r="I658" s="12" t="s">
        <v>393</v>
      </c>
    </row>
    <row r="659" spans="1:9" x14ac:dyDescent="0.55000000000000004">
      <c r="A659">
        <v>2014</v>
      </c>
      <c r="B659" t="s">
        <v>103</v>
      </c>
      <c r="C659" t="s">
        <v>143</v>
      </c>
      <c r="D659" t="s">
        <v>144</v>
      </c>
      <c r="E659">
        <v>97.8</v>
      </c>
      <c r="F659">
        <v>95.6</v>
      </c>
      <c r="G659" s="11" t="str" cm="1">
        <f t="array" ref="G659">TRIM(RemoveSpecial(D659))</f>
        <v>Law (4-year programme)</v>
      </c>
      <c r="H659" s="11" t="e">
        <f>VLOOKUP(G659,'course-cluster'!$A$2:$C$137,3, FALSE)</f>
        <v>#N/A</v>
      </c>
      <c r="I659" s="12" t="s">
        <v>393</v>
      </c>
    </row>
    <row r="660" spans="1:9" x14ac:dyDescent="0.55000000000000004">
      <c r="A660">
        <v>2014</v>
      </c>
      <c r="B660" t="s">
        <v>103</v>
      </c>
      <c r="C660" t="s">
        <v>143</v>
      </c>
      <c r="D660" t="s">
        <v>145</v>
      </c>
      <c r="E660">
        <v>97.7</v>
      </c>
      <c r="F660">
        <v>97.7</v>
      </c>
      <c r="G660" s="11" t="str" cm="1">
        <f t="array" ref="G660">TRIM(RemoveSpecial(D660))</f>
        <v>Law (4-year programme) Cum Laude and above</v>
      </c>
      <c r="H660" s="11" t="e">
        <f>VLOOKUP(G660,'course-cluster'!$A$2:$C$137,3, FALSE)</f>
        <v>#N/A</v>
      </c>
      <c r="I660" s="12" t="s">
        <v>393</v>
      </c>
    </row>
    <row r="661" spans="1:9" x14ac:dyDescent="0.55000000000000004">
      <c r="A661">
        <v>2013</v>
      </c>
      <c r="B661" t="s">
        <v>103</v>
      </c>
      <c r="C661" t="s">
        <v>119</v>
      </c>
      <c r="D661" t="s">
        <v>120</v>
      </c>
      <c r="E661">
        <v>100</v>
      </c>
      <c r="F661">
        <v>100</v>
      </c>
      <c r="G661" s="11" t="str" cm="1">
        <f t="array" ref="G661">TRIM(RemoveSpecial(D661))</f>
        <v>Law (4-years programme)</v>
      </c>
      <c r="H661" s="11" t="e">
        <f>VLOOKUP(G661,'course-cluster'!$A$2:$C$137,3, FALSE)</f>
        <v>#N/A</v>
      </c>
      <c r="I661" s="12" t="s">
        <v>393</v>
      </c>
    </row>
    <row r="662" spans="1:9" x14ac:dyDescent="0.55000000000000004">
      <c r="A662">
        <v>2013</v>
      </c>
      <c r="B662" t="s">
        <v>103</v>
      </c>
      <c r="C662" t="s">
        <v>119</v>
      </c>
      <c r="D662" t="s">
        <v>121</v>
      </c>
      <c r="E662">
        <v>100</v>
      </c>
      <c r="F662">
        <v>100</v>
      </c>
      <c r="G662" s="11" t="str" cm="1">
        <f t="array" ref="G662">TRIM(RemoveSpecial(D662))</f>
        <v>Law (4-years programme) Cum Laude and above</v>
      </c>
      <c r="H662" s="11" t="e">
        <f>VLOOKUP(G662,'course-cluster'!$A$2:$C$137,3, FALSE)</f>
        <v>#N/A</v>
      </c>
      <c r="I662" s="12" t="s">
        <v>393</v>
      </c>
    </row>
    <row r="663" spans="1:9" x14ac:dyDescent="0.55000000000000004">
      <c r="A663">
        <v>2018</v>
      </c>
      <c r="B663" t="s">
        <v>103</v>
      </c>
      <c r="C663" t="s">
        <v>143</v>
      </c>
      <c r="D663" t="s">
        <v>346</v>
      </c>
      <c r="E663">
        <v>94.4</v>
      </c>
      <c r="F663">
        <v>92.6</v>
      </c>
      <c r="G663" s="11" t="str" cm="1">
        <f t="array" ref="G663">TRIM(RemoveSpecial(D663))</f>
        <v>Law (Cum Laude and above)</v>
      </c>
      <c r="H663" s="11" t="e">
        <f>VLOOKUP(G663,'course-cluster'!$A$2:$C$137,3, FALSE)</f>
        <v>#N/A</v>
      </c>
      <c r="I663" s="12" t="s">
        <v>393</v>
      </c>
    </row>
    <row r="664" spans="1:9" x14ac:dyDescent="0.55000000000000004">
      <c r="A664">
        <v>2015</v>
      </c>
      <c r="B664" t="s">
        <v>103</v>
      </c>
      <c r="C664" t="s">
        <v>143</v>
      </c>
      <c r="D664" t="s">
        <v>206</v>
      </c>
      <c r="E664">
        <v>100</v>
      </c>
      <c r="F664">
        <v>100</v>
      </c>
      <c r="G664" s="11" t="str" cm="1">
        <f t="array" ref="G664">TRIM(RemoveSpecial(D664))</f>
        <v>Law Cum Laude and above</v>
      </c>
      <c r="H664" s="11" t="e">
        <f>VLOOKUP(G664,'course-cluster'!$A$2:$C$137,3, FALSE)</f>
        <v>#N/A</v>
      </c>
      <c r="I664" s="12" t="s">
        <v>393</v>
      </c>
    </row>
    <row r="665" spans="1:9" x14ac:dyDescent="0.55000000000000004">
      <c r="A665">
        <v>2017</v>
      </c>
      <c r="B665" t="s">
        <v>103</v>
      </c>
      <c r="C665" t="s">
        <v>119</v>
      </c>
      <c r="D665" t="s">
        <v>206</v>
      </c>
      <c r="E665">
        <v>97.9</v>
      </c>
      <c r="F665">
        <v>97.9</v>
      </c>
      <c r="G665" s="11" t="str" cm="1">
        <f t="array" ref="G665">TRIM(RemoveSpecial(D665))</f>
        <v>Law Cum Laude and above</v>
      </c>
      <c r="H665" s="11" t="e">
        <f>VLOOKUP(G665,'course-cluster'!$A$2:$C$137,3, FALSE)</f>
        <v>#N/A</v>
      </c>
      <c r="I665" s="12" t="s">
        <v>393</v>
      </c>
    </row>
    <row r="666" spans="1:9" x14ac:dyDescent="0.55000000000000004">
      <c r="A666">
        <v>2016</v>
      </c>
      <c r="B666" t="s">
        <v>103</v>
      </c>
      <c r="C666" t="s">
        <v>143</v>
      </c>
      <c r="D666" t="s">
        <v>206</v>
      </c>
      <c r="E666">
        <v>96.7</v>
      </c>
      <c r="F666">
        <v>96.7</v>
      </c>
      <c r="G666" s="11" t="str" cm="1">
        <f t="array" ref="G666">TRIM(RemoveSpecial(D666))</f>
        <v>Law Cum Laude and above</v>
      </c>
      <c r="H666" s="11" t="e">
        <f>VLOOKUP(G666,'course-cluster'!$A$2:$C$137,3, FALSE)</f>
        <v>#N/A</v>
      </c>
      <c r="I666" s="12" t="s">
        <v>393</v>
      </c>
    </row>
    <row r="667" spans="1:9" x14ac:dyDescent="0.55000000000000004">
      <c r="A667">
        <v>2019</v>
      </c>
      <c r="B667" t="s">
        <v>103</v>
      </c>
      <c r="C667" t="s">
        <v>520</v>
      </c>
      <c r="D667" t="s">
        <v>524</v>
      </c>
      <c r="E667">
        <v>99.1</v>
      </c>
      <c r="F667">
        <v>98.2</v>
      </c>
      <c r="G667" s="11" t="str" cm="1">
        <f t="array" ref="G667">TRIM(RemoveSpecial(D667))</f>
        <v>Law7</v>
      </c>
      <c r="H667" s="11" t="e">
        <f>VLOOKUP(G667,'course-cluster'!$A$2:$C$137,3, FALSE)</f>
        <v>#N/A</v>
      </c>
      <c r="I667" s="12" t="s">
        <v>393</v>
      </c>
    </row>
    <row r="668" spans="1:9" x14ac:dyDescent="0.55000000000000004">
      <c r="A668">
        <v>2013</v>
      </c>
      <c r="B668" t="s">
        <v>12</v>
      </c>
      <c r="C668" t="s">
        <v>31</v>
      </c>
      <c r="D668" t="s">
        <v>37</v>
      </c>
      <c r="E668">
        <v>90.6</v>
      </c>
      <c r="F668">
        <v>81.3</v>
      </c>
      <c r="G668" s="11" t="str" cm="1">
        <f t="array" ref="G668">TRIM(RemoveSpecial(D668))</f>
        <v>Linguistics and Multilingual Studies</v>
      </c>
      <c r="H668" s="11" t="e">
        <f>VLOOKUP(G668,'course-cluster'!$A$2:$C$137,3, FALSE)</f>
        <v>#N/A</v>
      </c>
      <c r="I668" s="12" t="s">
        <v>393</v>
      </c>
    </row>
    <row r="669" spans="1:9" x14ac:dyDescent="0.55000000000000004">
      <c r="A669">
        <v>2015</v>
      </c>
      <c r="B669" t="s">
        <v>12</v>
      </c>
      <c r="C669" t="s">
        <v>31</v>
      </c>
      <c r="D669" t="s">
        <v>190</v>
      </c>
      <c r="E669">
        <v>88.4</v>
      </c>
      <c r="F669">
        <v>55.8</v>
      </c>
      <c r="G669" s="11" t="str" cm="1">
        <f t="array" ref="G669">TRIM(RemoveSpecial(D669))</f>
        <v>Linguistics And Multilingual Studies</v>
      </c>
      <c r="H669" s="11" t="e">
        <f>VLOOKUP(G669,'course-cluster'!$A$2:$C$137,3, FALSE)</f>
        <v>#N/A</v>
      </c>
      <c r="I669" s="12" t="s">
        <v>393</v>
      </c>
    </row>
    <row r="670" spans="1:9" x14ac:dyDescent="0.55000000000000004">
      <c r="A670">
        <v>2014</v>
      </c>
      <c r="B670" t="s">
        <v>12</v>
      </c>
      <c r="C670" t="s">
        <v>31</v>
      </c>
      <c r="D670" t="s">
        <v>37</v>
      </c>
      <c r="E670">
        <v>85.7</v>
      </c>
      <c r="F670">
        <v>66.7</v>
      </c>
      <c r="G670" s="11" t="str" cm="1">
        <f t="array" ref="G670">TRIM(RemoveSpecial(D670))</f>
        <v>Linguistics and Multilingual Studies</v>
      </c>
      <c r="H670" s="11" t="e">
        <f>VLOOKUP(G670,'course-cluster'!$A$2:$C$137,3, FALSE)</f>
        <v>#N/A</v>
      </c>
      <c r="I670" s="12" t="s">
        <v>393</v>
      </c>
    </row>
    <row r="671" spans="1:9" x14ac:dyDescent="0.55000000000000004">
      <c r="A671">
        <v>2016</v>
      </c>
      <c r="B671" t="s">
        <v>12</v>
      </c>
      <c r="C671" t="s">
        <v>31</v>
      </c>
      <c r="D671" t="s">
        <v>190</v>
      </c>
      <c r="E671">
        <v>81.8</v>
      </c>
      <c r="F671">
        <v>61.8</v>
      </c>
      <c r="G671" s="11" t="str" cm="1">
        <f t="array" ref="G671">TRIM(RemoveSpecial(D671))</f>
        <v>Linguistics And Multilingual Studies</v>
      </c>
      <c r="H671" s="11" t="e">
        <f>VLOOKUP(G671,'course-cluster'!$A$2:$C$137,3, FALSE)</f>
        <v>#N/A</v>
      </c>
      <c r="I671" s="12" t="s">
        <v>393</v>
      </c>
    </row>
    <row r="672" spans="1:9" x14ac:dyDescent="0.55000000000000004">
      <c r="A672">
        <v>2019</v>
      </c>
      <c r="B672" t="s">
        <v>12</v>
      </c>
      <c r="C672" t="s">
        <v>31</v>
      </c>
      <c r="D672" t="s">
        <v>498</v>
      </c>
      <c r="E672">
        <v>81.699999999999989</v>
      </c>
      <c r="F672">
        <v>65</v>
      </c>
      <c r="G672" s="11" t="str" cm="1">
        <f t="array" ref="G672">TRIM(RemoveSpecial(D672))</f>
        <v>Linguistics And Multilingual Studies</v>
      </c>
      <c r="H672" s="11" t="e">
        <f>VLOOKUP(G672,'course-cluster'!$A$2:$C$137,3, FALSE)</f>
        <v>#N/A</v>
      </c>
      <c r="I672" s="12" t="s">
        <v>393</v>
      </c>
    </row>
    <row r="673" spans="1:9" x14ac:dyDescent="0.55000000000000004">
      <c r="A673">
        <v>2018</v>
      </c>
      <c r="B673" t="s">
        <v>12</v>
      </c>
      <c r="C673" t="s">
        <v>31</v>
      </c>
      <c r="D673" t="s">
        <v>309</v>
      </c>
      <c r="E673">
        <v>79.2</v>
      </c>
      <c r="F673">
        <v>45.8</v>
      </c>
      <c r="G673" s="11" t="str" cm="1">
        <f t="array" ref="G673">TRIM(RemoveSpecial(D673))</f>
        <v>Linguistics Multilingual Studies</v>
      </c>
      <c r="H673" s="11" t="e">
        <f>VLOOKUP(G673,'course-cluster'!$A$2:$C$137,3, FALSE)</f>
        <v>#N/A</v>
      </c>
      <c r="I673" s="12" t="s">
        <v>393</v>
      </c>
    </row>
    <row r="674" spans="1:9" x14ac:dyDescent="0.55000000000000004">
      <c r="A674">
        <v>2013</v>
      </c>
      <c r="B674" t="s">
        <v>12</v>
      </c>
      <c r="C674" t="s">
        <v>18</v>
      </c>
      <c r="D674" t="s">
        <v>30</v>
      </c>
      <c r="E674">
        <v>95.6</v>
      </c>
      <c r="F674">
        <v>93.3</v>
      </c>
      <c r="G674" s="11" t="str" cm="1">
        <f t="array" ref="G674">TRIM(RemoveSpecial(D674))</f>
        <v>Maritime Studies</v>
      </c>
      <c r="H674" s="11" t="e">
        <f>VLOOKUP(G674,'course-cluster'!$A$2:$C$137,3, FALSE)</f>
        <v>#N/A</v>
      </c>
      <c r="I674" s="12" t="s">
        <v>219</v>
      </c>
    </row>
    <row r="675" spans="1:9" x14ac:dyDescent="0.55000000000000004">
      <c r="A675">
        <v>2019</v>
      </c>
      <c r="B675" t="s">
        <v>12</v>
      </c>
      <c r="C675" t="s">
        <v>18</v>
      </c>
      <c r="D675" t="s">
        <v>489</v>
      </c>
      <c r="E675">
        <v>98.3</v>
      </c>
      <c r="F675">
        <v>93.2</v>
      </c>
      <c r="G675" s="11" t="str" cm="1">
        <f t="array" ref="G675">TRIM(RemoveSpecial(D675))</f>
        <v>Maritime Studies</v>
      </c>
      <c r="H675" s="11" t="e">
        <f>VLOOKUP(G675,'course-cluster'!$A$2:$C$137,3, FALSE)</f>
        <v>#N/A</v>
      </c>
      <c r="I675" s="12" t="s">
        <v>219</v>
      </c>
    </row>
    <row r="676" spans="1:9" x14ac:dyDescent="0.55000000000000004">
      <c r="A676">
        <v>2015</v>
      </c>
      <c r="B676" t="s">
        <v>12</v>
      </c>
      <c r="C676" t="s">
        <v>18</v>
      </c>
      <c r="D676" t="s">
        <v>30</v>
      </c>
      <c r="E676">
        <v>95</v>
      </c>
      <c r="F676">
        <v>95</v>
      </c>
      <c r="G676" s="11" t="str" cm="1">
        <f t="array" ref="G676">TRIM(RemoveSpecial(D676))</f>
        <v>Maritime Studies</v>
      </c>
      <c r="H676" s="11" t="e">
        <f>VLOOKUP(G676,'course-cluster'!$A$2:$C$137,3, FALSE)</f>
        <v>#N/A</v>
      </c>
      <c r="I676" s="12" t="s">
        <v>219</v>
      </c>
    </row>
    <row r="677" spans="1:9" x14ac:dyDescent="0.55000000000000004">
      <c r="A677">
        <v>2016</v>
      </c>
      <c r="B677" t="s">
        <v>12</v>
      </c>
      <c r="C677" t="s">
        <v>18</v>
      </c>
      <c r="D677" t="s">
        <v>30</v>
      </c>
      <c r="E677">
        <v>94.2</v>
      </c>
      <c r="F677">
        <v>88.5</v>
      </c>
      <c r="G677" s="11" t="str" cm="1">
        <f t="array" ref="G677">TRIM(RemoveSpecial(D677))</f>
        <v>Maritime Studies</v>
      </c>
      <c r="H677" s="11" t="e">
        <f>VLOOKUP(G677,'course-cluster'!$A$2:$C$137,3, FALSE)</f>
        <v>#N/A</v>
      </c>
      <c r="I677" s="12" t="s">
        <v>219</v>
      </c>
    </row>
    <row r="678" spans="1:9" x14ac:dyDescent="0.55000000000000004">
      <c r="A678">
        <v>2018</v>
      </c>
      <c r="B678" t="s">
        <v>12</v>
      </c>
      <c r="C678" t="s">
        <v>18</v>
      </c>
      <c r="D678" t="s">
        <v>30</v>
      </c>
      <c r="E678">
        <v>93.3</v>
      </c>
      <c r="F678">
        <v>90</v>
      </c>
      <c r="G678" s="11" t="str" cm="1">
        <f t="array" ref="G678">TRIM(RemoveSpecial(D678))</f>
        <v>Maritime Studies</v>
      </c>
      <c r="H678" s="11" t="e">
        <f>VLOOKUP(G678,'course-cluster'!$A$2:$C$137,3, FALSE)</f>
        <v>#N/A</v>
      </c>
      <c r="I678" s="12" t="s">
        <v>219</v>
      </c>
    </row>
    <row r="679" spans="1:9" x14ac:dyDescent="0.55000000000000004">
      <c r="A679">
        <v>2014</v>
      </c>
      <c r="B679" t="s">
        <v>12</v>
      </c>
      <c r="C679" t="s">
        <v>18</v>
      </c>
      <c r="D679" t="s">
        <v>30</v>
      </c>
      <c r="E679">
        <v>92.5</v>
      </c>
      <c r="F679">
        <v>92.5</v>
      </c>
      <c r="G679" s="11" t="str" cm="1">
        <f t="array" ref="G679">TRIM(RemoveSpecial(D679))</f>
        <v>Maritime Studies</v>
      </c>
      <c r="H679" s="11" t="e">
        <f>VLOOKUP(G679,'course-cluster'!$A$2:$C$137,3, FALSE)</f>
        <v>#N/A</v>
      </c>
      <c r="I679" s="12" t="s">
        <v>219</v>
      </c>
    </row>
    <row r="680" spans="1:9" x14ac:dyDescent="0.55000000000000004">
      <c r="A680">
        <v>2013</v>
      </c>
      <c r="B680" t="s">
        <v>12</v>
      </c>
      <c r="C680" t="s">
        <v>18</v>
      </c>
      <c r="D680" t="s">
        <v>28</v>
      </c>
      <c r="E680">
        <v>82.5</v>
      </c>
      <c r="F680">
        <v>78.900000000000006</v>
      </c>
      <c r="G680" s="11" t="str" cm="1">
        <f t="array" ref="G680">TRIM(RemoveSpecial(D680))</f>
        <v>Materials Engineering</v>
      </c>
      <c r="H680" s="11" t="e">
        <f>VLOOKUP(G680,'course-cluster'!$A$2:$C$137,3, FALSE)</f>
        <v>#N/A</v>
      </c>
      <c r="I680" s="12" t="s">
        <v>372</v>
      </c>
    </row>
    <row r="681" spans="1:9" x14ac:dyDescent="0.55000000000000004">
      <c r="A681">
        <v>2018</v>
      </c>
      <c r="B681" t="s">
        <v>12</v>
      </c>
      <c r="C681" t="s">
        <v>18</v>
      </c>
      <c r="D681" t="s">
        <v>28</v>
      </c>
      <c r="E681">
        <v>86.5</v>
      </c>
      <c r="F681">
        <v>81.900000000000006</v>
      </c>
      <c r="G681" s="11" t="str" cm="1">
        <f t="array" ref="G681">TRIM(RemoveSpecial(D681))</f>
        <v>Materials Engineering</v>
      </c>
      <c r="H681" s="11" t="e">
        <f>VLOOKUP(G681,'course-cluster'!$A$2:$C$137,3, FALSE)</f>
        <v>#N/A</v>
      </c>
      <c r="I681" s="12" t="s">
        <v>372</v>
      </c>
    </row>
    <row r="682" spans="1:9" x14ac:dyDescent="0.55000000000000004">
      <c r="A682">
        <v>2015</v>
      </c>
      <c r="B682" t="s">
        <v>12</v>
      </c>
      <c r="C682" t="s">
        <v>18</v>
      </c>
      <c r="D682" t="s">
        <v>28</v>
      </c>
      <c r="E682">
        <v>82.9</v>
      </c>
      <c r="F682">
        <v>76.8</v>
      </c>
      <c r="G682" s="11" t="str" cm="1">
        <f t="array" ref="G682">TRIM(RemoveSpecial(D682))</f>
        <v>Materials Engineering</v>
      </c>
      <c r="H682" s="11" t="e">
        <f>VLOOKUP(G682,'course-cluster'!$A$2:$C$137,3, FALSE)</f>
        <v>#N/A</v>
      </c>
      <c r="I682" s="12" t="s">
        <v>372</v>
      </c>
    </row>
    <row r="683" spans="1:9" x14ac:dyDescent="0.55000000000000004">
      <c r="A683">
        <v>2014</v>
      </c>
      <c r="B683" t="s">
        <v>12</v>
      </c>
      <c r="C683" t="s">
        <v>18</v>
      </c>
      <c r="D683" t="s">
        <v>28</v>
      </c>
      <c r="E683">
        <v>82.5</v>
      </c>
      <c r="F683">
        <v>77.7</v>
      </c>
      <c r="G683" s="11" t="str" cm="1">
        <f t="array" ref="G683">TRIM(RemoveSpecial(D683))</f>
        <v>Materials Engineering</v>
      </c>
      <c r="H683" s="11" t="e">
        <f>VLOOKUP(G683,'course-cluster'!$A$2:$C$137,3, FALSE)</f>
        <v>#N/A</v>
      </c>
      <c r="I683" s="12" t="s">
        <v>372</v>
      </c>
    </row>
    <row r="684" spans="1:9" x14ac:dyDescent="0.55000000000000004">
      <c r="A684">
        <v>2019</v>
      </c>
      <c r="B684" t="s">
        <v>12</v>
      </c>
      <c r="C684" t="s">
        <v>18</v>
      </c>
      <c r="D684" t="s">
        <v>490</v>
      </c>
      <c r="E684">
        <v>82</v>
      </c>
      <c r="F684">
        <v>76</v>
      </c>
      <c r="G684" s="11" t="str" cm="1">
        <f t="array" ref="G684">TRIM(RemoveSpecial(D684))</f>
        <v>Materials Engineering</v>
      </c>
      <c r="H684" s="11" t="e">
        <f>VLOOKUP(G684,'course-cluster'!$A$2:$C$137,3, FALSE)</f>
        <v>#N/A</v>
      </c>
      <c r="I684" s="12" t="s">
        <v>372</v>
      </c>
    </row>
    <row r="685" spans="1:9" x14ac:dyDescent="0.55000000000000004">
      <c r="A685">
        <v>2016</v>
      </c>
      <c r="B685" t="s">
        <v>12</v>
      </c>
      <c r="C685" t="s">
        <v>18</v>
      </c>
      <c r="D685" t="s">
        <v>28</v>
      </c>
      <c r="E685">
        <v>81.3</v>
      </c>
      <c r="F685">
        <v>73.5</v>
      </c>
      <c r="G685" s="11" t="str" cm="1">
        <f t="array" ref="G685">TRIM(RemoveSpecial(D685))</f>
        <v>Materials Engineering</v>
      </c>
      <c r="H685" s="11" t="e">
        <f>VLOOKUP(G685,'course-cluster'!$A$2:$C$137,3, FALSE)</f>
        <v>#N/A</v>
      </c>
      <c r="I685" s="12" t="s">
        <v>372</v>
      </c>
    </row>
    <row r="686" spans="1:9" x14ac:dyDescent="0.55000000000000004">
      <c r="A686">
        <v>2014</v>
      </c>
      <c r="B686" t="s">
        <v>12</v>
      </c>
      <c r="C686" t="s">
        <v>40</v>
      </c>
      <c r="D686" t="s">
        <v>47</v>
      </c>
      <c r="E686">
        <v>91.3</v>
      </c>
      <c r="F686">
        <v>79.7</v>
      </c>
      <c r="G686" s="11" t="str" cm="1">
        <f t="array" ref="G686">TRIM(RemoveSpecial(D686))</f>
        <v>Mathematical Science</v>
      </c>
      <c r="H686" s="11" t="e">
        <f>VLOOKUP(G686,'course-cluster'!$A$2:$C$137,3, FALSE)</f>
        <v>#N/A</v>
      </c>
      <c r="I686" s="12" t="s">
        <v>390</v>
      </c>
    </row>
    <row r="687" spans="1:9" x14ac:dyDescent="0.55000000000000004">
      <c r="A687">
        <v>2013</v>
      </c>
      <c r="B687" t="s">
        <v>12</v>
      </c>
      <c r="C687" t="s">
        <v>40</v>
      </c>
      <c r="D687" t="s">
        <v>47</v>
      </c>
      <c r="E687">
        <v>86</v>
      </c>
      <c r="F687">
        <v>83.7</v>
      </c>
      <c r="G687" s="11" t="str" cm="1">
        <f t="array" ref="G687">TRIM(RemoveSpecial(D687))</f>
        <v>Mathematical Science</v>
      </c>
      <c r="H687" s="11" t="e">
        <f>VLOOKUP(G687,'course-cluster'!$A$2:$C$137,3, FALSE)</f>
        <v>#N/A</v>
      </c>
      <c r="I687" s="12" t="s">
        <v>390</v>
      </c>
    </row>
    <row r="688" spans="1:9" x14ac:dyDescent="0.55000000000000004">
      <c r="A688">
        <v>2015</v>
      </c>
      <c r="B688" t="s">
        <v>12</v>
      </c>
      <c r="C688" t="s">
        <v>40</v>
      </c>
      <c r="D688" t="s">
        <v>47</v>
      </c>
      <c r="E688">
        <v>81.8</v>
      </c>
      <c r="F688">
        <v>72.7</v>
      </c>
      <c r="G688" s="11" t="str" cm="1">
        <f t="array" ref="G688">TRIM(RemoveSpecial(D688))</f>
        <v>Mathematical Science</v>
      </c>
      <c r="H688" s="11" t="e">
        <f>VLOOKUP(G688,'course-cluster'!$A$2:$C$137,3, FALSE)</f>
        <v>#N/A</v>
      </c>
      <c r="I688" s="12" t="s">
        <v>390</v>
      </c>
    </row>
    <row r="689" spans="1:9" x14ac:dyDescent="0.55000000000000004">
      <c r="A689">
        <v>2019</v>
      </c>
      <c r="B689" t="s">
        <v>12</v>
      </c>
      <c r="C689" t="s">
        <v>503</v>
      </c>
      <c r="D689" t="s">
        <v>512</v>
      </c>
      <c r="E689">
        <v>91.2</v>
      </c>
      <c r="F689">
        <v>79.600000000000009</v>
      </c>
      <c r="G689" s="11" t="str" cm="1">
        <f t="array" ref="G689">TRIM(RemoveSpecial(D689))</f>
        <v>Mathematical Sciences</v>
      </c>
      <c r="H689" s="11" t="e">
        <f>VLOOKUP(G689,'course-cluster'!$A$2:$C$137,3, FALSE)</f>
        <v>#N/A</v>
      </c>
      <c r="I689" s="12" t="s">
        <v>390</v>
      </c>
    </row>
    <row r="690" spans="1:9" x14ac:dyDescent="0.55000000000000004">
      <c r="A690">
        <v>2016</v>
      </c>
      <c r="B690" t="s">
        <v>12</v>
      </c>
      <c r="C690" t="s">
        <v>40</v>
      </c>
      <c r="D690" t="s">
        <v>224</v>
      </c>
      <c r="E690">
        <v>88.5</v>
      </c>
      <c r="F690">
        <v>76.900000000000006</v>
      </c>
      <c r="G690" s="11" t="str" cm="1">
        <f t="array" ref="G690">TRIM(RemoveSpecial(D690))</f>
        <v>Mathematical Sciences</v>
      </c>
      <c r="H690" s="11" t="e">
        <f>VLOOKUP(G690,'course-cluster'!$A$2:$C$137,3, FALSE)</f>
        <v>#N/A</v>
      </c>
      <c r="I690" s="12" t="s">
        <v>390</v>
      </c>
    </row>
    <row r="691" spans="1:9" x14ac:dyDescent="0.55000000000000004">
      <c r="A691">
        <v>2018</v>
      </c>
      <c r="B691" t="s">
        <v>12</v>
      </c>
      <c r="C691" t="s">
        <v>40</v>
      </c>
      <c r="D691" t="s">
        <v>224</v>
      </c>
      <c r="E691">
        <v>87.1</v>
      </c>
      <c r="F691">
        <v>75.900000000000006</v>
      </c>
      <c r="G691" s="11" t="str" cm="1">
        <f t="array" ref="G691">TRIM(RemoveSpecial(D691))</f>
        <v>Mathematical Sciences</v>
      </c>
      <c r="H691" s="11" t="e">
        <f>VLOOKUP(G691,'course-cluster'!$A$2:$C$137,3, FALSE)</f>
        <v>#N/A</v>
      </c>
      <c r="I691" s="12" t="s">
        <v>390</v>
      </c>
    </row>
    <row r="692" spans="1:9" x14ac:dyDescent="0.55000000000000004">
      <c r="A692">
        <v>2018</v>
      </c>
      <c r="B692" t="s">
        <v>12</v>
      </c>
      <c r="C692" t="s">
        <v>40</v>
      </c>
      <c r="D692" t="s">
        <v>124</v>
      </c>
      <c r="E692">
        <v>96.3</v>
      </c>
      <c r="F692">
        <v>83.3</v>
      </c>
      <c r="G692" s="11" t="str" cm="1">
        <f t="array" ref="G692">TRIM(RemoveSpecial(D692))</f>
        <v>Mathematics Economics</v>
      </c>
      <c r="H692" s="11" t="e">
        <f>VLOOKUP(G692,'course-cluster'!$A$2:$C$137,3, FALSE)</f>
        <v>#N/A</v>
      </c>
      <c r="I692" s="12" t="s">
        <v>390</v>
      </c>
    </row>
    <row r="693" spans="1:9" x14ac:dyDescent="0.55000000000000004">
      <c r="A693">
        <v>2015</v>
      </c>
      <c r="B693" t="s">
        <v>12</v>
      </c>
      <c r="C693" t="s">
        <v>40</v>
      </c>
      <c r="D693" t="s">
        <v>124</v>
      </c>
      <c r="E693">
        <v>95.3</v>
      </c>
      <c r="F693">
        <v>84.4</v>
      </c>
      <c r="G693" s="11" t="str" cm="1">
        <f t="array" ref="G693">TRIM(RemoveSpecial(D693))</f>
        <v>Mathematics Economics</v>
      </c>
      <c r="H693" s="11" t="e">
        <f>VLOOKUP(G693,'course-cluster'!$A$2:$C$137,3, FALSE)</f>
        <v>#N/A</v>
      </c>
      <c r="I693" s="12" t="s">
        <v>390</v>
      </c>
    </row>
    <row r="694" spans="1:9" x14ac:dyDescent="0.55000000000000004">
      <c r="A694">
        <v>2019</v>
      </c>
      <c r="B694" t="s">
        <v>12</v>
      </c>
      <c r="C694" t="s">
        <v>503</v>
      </c>
      <c r="D694" t="s">
        <v>513</v>
      </c>
      <c r="E694">
        <v>93.5</v>
      </c>
      <c r="F694">
        <v>84.8</v>
      </c>
      <c r="G694" s="11" t="str" cm="1">
        <f t="array" ref="G694">TRIM(RemoveSpecial(D694))</f>
        <v>Mathematics Economics</v>
      </c>
      <c r="H694" s="11" t="e">
        <f>VLOOKUP(G694,'course-cluster'!$A$2:$C$137,3, FALSE)</f>
        <v>#N/A</v>
      </c>
      <c r="I694" s="12" t="s">
        <v>390</v>
      </c>
    </row>
    <row r="695" spans="1:9" x14ac:dyDescent="0.55000000000000004">
      <c r="A695">
        <v>2016</v>
      </c>
      <c r="B695" t="s">
        <v>12</v>
      </c>
      <c r="C695" t="s">
        <v>40</v>
      </c>
      <c r="D695" t="s">
        <v>124</v>
      </c>
      <c r="E695">
        <v>89.4</v>
      </c>
      <c r="F695">
        <v>72.7</v>
      </c>
      <c r="G695" s="11" t="str" cm="1">
        <f t="array" ref="G695">TRIM(RemoveSpecial(D695))</f>
        <v>Mathematics Economics</v>
      </c>
      <c r="H695" s="11" t="e">
        <f>VLOOKUP(G695,'course-cluster'!$A$2:$C$137,3, FALSE)</f>
        <v>#N/A</v>
      </c>
      <c r="I695" s="12" t="s">
        <v>390</v>
      </c>
    </row>
    <row r="696" spans="1:9" x14ac:dyDescent="0.55000000000000004">
      <c r="A696">
        <v>2014</v>
      </c>
      <c r="B696" t="s">
        <v>12</v>
      </c>
      <c r="C696" t="s">
        <v>40</v>
      </c>
      <c r="D696" t="s">
        <v>124</v>
      </c>
      <c r="E696">
        <v>88.4</v>
      </c>
      <c r="F696">
        <v>87</v>
      </c>
      <c r="G696" s="11" t="str" cm="1">
        <f t="array" ref="G696">TRIM(RemoveSpecial(D696))</f>
        <v>Mathematics Economics</v>
      </c>
      <c r="H696" s="11" t="e">
        <f>VLOOKUP(G696,'course-cluster'!$A$2:$C$137,3, FALSE)</f>
        <v>#N/A</v>
      </c>
      <c r="I696" s="12" t="s">
        <v>390</v>
      </c>
    </row>
    <row r="697" spans="1:9" x14ac:dyDescent="0.55000000000000004">
      <c r="A697">
        <v>2013</v>
      </c>
      <c r="B697" t="s">
        <v>12</v>
      </c>
      <c r="C697" t="s">
        <v>18</v>
      </c>
      <c r="D697" t="s">
        <v>29</v>
      </c>
      <c r="E697">
        <v>91.6</v>
      </c>
      <c r="F697">
        <v>89.5</v>
      </c>
      <c r="G697" s="11" t="str" cm="1">
        <f t="array" ref="G697">TRIM(RemoveSpecial(D697))</f>
        <v>Mechanical Engineering</v>
      </c>
      <c r="H697" s="11" t="e">
        <f>VLOOKUP(G697,'course-cluster'!$A$2:$C$137,3, FALSE)</f>
        <v>#N/A</v>
      </c>
      <c r="I697" s="12" t="s">
        <v>372</v>
      </c>
    </row>
    <row r="698" spans="1:9" x14ac:dyDescent="0.55000000000000004">
      <c r="A698">
        <v>2014</v>
      </c>
      <c r="B698" t="s">
        <v>12</v>
      </c>
      <c r="C698" t="s">
        <v>18</v>
      </c>
      <c r="D698" t="s">
        <v>29</v>
      </c>
      <c r="E698">
        <v>90.2</v>
      </c>
      <c r="F698">
        <v>87.8</v>
      </c>
      <c r="G698" s="11" t="str" cm="1">
        <f t="array" ref="G698">TRIM(RemoveSpecial(D698))</f>
        <v>Mechanical Engineering</v>
      </c>
      <c r="H698" s="11" t="e">
        <f>VLOOKUP(G698,'course-cluster'!$A$2:$C$137,3, FALSE)</f>
        <v>#N/A</v>
      </c>
      <c r="I698" s="12" t="s">
        <v>372</v>
      </c>
    </row>
    <row r="699" spans="1:9" x14ac:dyDescent="0.55000000000000004">
      <c r="A699">
        <v>2015</v>
      </c>
      <c r="B699" t="s">
        <v>12</v>
      </c>
      <c r="C699" t="s">
        <v>18</v>
      </c>
      <c r="D699" t="s">
        <v>29</v>
      </c>
      <c r="E699">
        <v>88</v>
      </c>
      <c r="F699">
        <v>80.7</v>
      </c>
      <c r="G699" s="11" t="str" cm="1">
        <f t="array" ref="G699">TRIM(RemoveSpecial(D699))</f>
        <v>Mechanical Engineering</v>
      </c>
      <c r="H699" s="11" t="e">
        <f>VLOOKUP(G699,'course-cluster'!$A$2:$C$137,3, FALSE)</f>
        <v>#N/A</v>
      </c>
      <c r="I699" s="12" t="s">
        <v>372</v>
      </c>
    </row>
    <row r="700" spans="1:9" x14ac:dyDescent="0.55000000000000004">
      <c r="A700">
        <v>2016</v>
      </c>
      <c r="B700" t="s">
        <v>12</v>
      </c>
      <c r="C700" t="s">
        <v>18</v>
      </c>
      <c r="D700" t="s">
        <v>29</v>
      </c>
      <c r="E700">
        <v>86</v>
      </c>
      <c r="F700">
        <v>79.900000000000006</v>
      </c>
      <c r="G700" s="11" t="str" cm="1">
        <f t="array" ref="G700">TRIM(RemoveSpecial(D700))</f>
        <v>Mechanical Engineering</v>
      </c>
      <c r="H700" s="11" t="e">
        <f>VLOOKUP(G700,'course-cluster'!$A$2:$C$137,3, FALSE)</f>
        <v>#N/A</v>
      </c>
      <c r="I700" s="12" t="s">
        <v>372</v>
      </c>
    </row>
    <row r="701" spans="1:9" x14ac:dyDescent="0.55000000000000004">
      <c r="A701">
        <v>2018</v>
      </c>
      <c r="B701" t="s">
        <v>12</v>
      </c>
      <c r="C701" t="s">
        <v>18</v>
      </c>
      <c r="D701" t="s">
        <v>29</v>
      </c>
      <c r="E701">
        <v>85.6</v>
      </c>
      <c r="F701">
        <v>81.099999999999994</v>
      </c>
      <c r="G701" s="11" t="str" cm="1">
        <f t="array" ref="G701">TRIM(RemoveSpecial(D701))</f>
        <v>Mechanical Engineering</v>
      </c>
      <c r="H701" s="11" t="e">
        <f>VLOOKUP(G701,'course-cluster'!$A$2:$C$137,3, FALSE)</f>
        <v>#N/A</v>
      </c>
      <c r="I701" s="12" t="s">
        <v>372</v>
      </c>
    </row>
    <row r="702" spans="1:9" x14ac:dyDescent="0.55000000000000004">
      <c r="A702">
        <v>2019</v>
      </c>
      <c r="B702" t="s">
        <v>12</v>
      </c>
      <c r="C702" t="s">
        <v>18</v>
      </c>
      <c r="D702" t="s">
        <v>491</v>
      </c>
      <c r="E702">
        <v>84.5</v>
      </c>
      <c r="F702">
        <v>82.1</v>
      </c>
      <c r="G702" s="11" t="str" cm="1">
        <f t="array" ref="G702">TRIM(RemoveSpecial(D702))</f>
        <v>Mechanical Engineering</v>
      </c>
      <c r="H702" s="11" t="e">
        <f>VLOOKUP(G702,'course-cluster'!$A$2:$C$137,3, FALSE)</f>
        <v>#N/A</v>
      </c>
      <c r="I702" s="12" t="s">
        <v>372</v>
      </c>
    </row>
    <row r="703" spans="1:9" x14ac:dyDescent="0.55000000000000004">
      <c r="A703">
        <v>2019</v>
      </c>
      <c r="B703" t="s">
        <v>12</v>
      </c>
      <c r="C703" t="s">
        <v>317</v>
      </c>
      <c r="D703" t="s">
        <v>507</v>
      </c>
      <c r="E703">
        <v>100</v>
      </c>
      <c r="F703">
        <v>100</v>
      </c>
      <c r="G703" s="11" t="str" cm="1">
        <f t="array" ref="G703">TRIM(RemoveSpecial(D703))</f>
        <v>Medicine6</v>
      </c>
      <c r="H703" s="11" t="e">
        <f>VLOOKUP(G703,'course-cluster'!$A$2:$C$137,3, FALSE)</f>
        <v>#N/A</v>
      </c>
      <c r="I703" s="12" t="s">
        <v>384</v>
      </c>
    </row>
    <row r="704" spans="1:9" x14ac:dyDescent="0.55000000000000004">
      <c r="A704">
        <v>2019</v>
      </c>
      <c r="B704" t="s">
        <v>12</v>
      </c>
      <c r="C704" t="s">
        <v>31</v>
      </c>
      <c r="D704" t="s">
        <v>499</v>
      </c>
      <c r="E704">
        <v>82.6</v>
      </c>
      <c r="F704">
        <v>69.599999999999994</v>
      </c>
      <c r="G704" s="11" t="str" cm="1">
        <f t="array" ref="G704">TRIM(RemoveSpecial(D704))</f>
        <v>Philosophy</v>
      </c>
      <c r="H704" s="11" t="e">
        <f>VLOOKUP(G704,'course-cluster'!$A$2:$C$137,3, FALSE)</f>
        <v>#N/A</v>
      </c>
      <c r="I704" s="12" t="s">
        <v>393</v>
      </c>
    </row>
    <row r="705" spans="1:9" x14ac:dyDescent="0.55000000000000004">
      <c r="A705">
        <v>2018</v>
      </c>
      <c r="B705" t="s">
        <v>12</v>
      </c>
      <c r="C705" t="s">
        <v>31</v>
      </c>
      <c r="D705" t="s">
        <v>310</v>
      </c>
      <c r="E705">
        <v>80</v>
      </c>
      <c r="F705">
        <v>76</v>
      </c>
      <c r="G705" s="11" t="str" cm="1">
        <f t="array" ref="G705">TRIM(RemoveSpecial(D705))</f>
        <v>Philosophy</v>
      </c>
      <c r="H705" s="11" t="e">
        <f>VLOOKUP(G705,'course-cluster'!$A$2:$C$137,3, FALSE)</f>
        <v>#N/A</v>
      </c>
      <c r="I705" s="12" t="s">
        <v>393</v>
      </c>
    </row>
    <row r="706" spans="1:9" x14ac:dyDescent="0.55000000000000004">
      <c r="A706">
        <v>2016</v>
      </c>
      <c r="B706" t="s">
        <v>12</v>
      </c>
      <c r="C706" t="s">
        <v>40</v>
      </c>
      <c r="D706" t="s">
        <v>48</v>
      </c>
      <c r="E706">
        <v>85.7</v>
      </c>
      <c r="F706">
        <v>77.099999999999994</v>
      </c>
      <c r="G706" s="11" t="str" cm="1">
        <f t="array" ref="G706">TRIM(RemoveSpecial(D706))</f>
        <v>Physics / Applied Physics</v>
      </c>
      <c r="H706" s="11" t="e">
        <f>VLOOKUP(G706,'course-cluster'!$A$2:$C$137,3, FALSE)</f>
        <v>#N/A</v>
      </c>
      <c r="I706" s="12" t="s">
        <v>390</v>
      </c>
    </row>
    <row r="707" spans="1:9" x14ac:dyDescent="0.55000000000000004">
      <c r="A707">
        <v>2015</v>
      </c>
      <c r="B707" t="s">
        <v>12</v>
      </c>
      <c r="C707" t="s">
        <v>40</v>
      </c>
      <c r="D707" t="s">
        <v>48</v>
      </c>
      <c r="E707">
        <v>82.1</v>
      </c>
      <c r="F707">
        <v>69.599999999999994</v>
      </c>
      <c r="G707" s="11" t="str" cm="1">
        <f t="array" ref="G707">TRIM(RemoveSpecial(D707))</f>
        <v>Physics / Applied Physics</v>
      </c>
      <c r="H707" s="11" t="e">
        <f>VLOOKUP(G707,'course-cluster'!$A$2:$C$137,3, FALSE)</f>
        <v>#N/A</v>
      </c>
      <c r="I707" s="12" t="s">
        <v>390</v>
      </c>
    </row>
    <row r="708" spans="1:9" x14ac:dyDescent="0.55000000000000004">
      <c r="A708">
        <v>2013</v>
      </c>
      <c r="B708" t="s">
        <v>12</v>
      </c>
      <c r="C708" t="s">
        <v>40</v>
      </c>
      <c r="D708" t="s">
        <v>48</v>
      </c>
      <c r="E708">
        <v>80.8</v>
      </c>
      <c r="F708">
        <v>69.2</v>
      </c>
      <c r="G708" s="11" t="str" cm="1">
        <f t="array" ref="G708">TRIM(RemoveSpecial(D708))</f>
        <v>Physics / Applied Physics</v>
      </c>
      <c r="H708" s="11" t="e">
        <f>VLOOKUP(G708,'course-cluster'!$A$2:$C$137,3, FALSE)</f>
        <v>#N/A</v>
      </c>
      <c r="I708" s="12" t="s">
        <v>390</v>
      </c>
    </row>
    <row r="709" spans="1:9" x14ac:dyDescent="0.55000000000000004">
      <c r="A709">
        <v>2014</v>
      </c>
      <c r="B709" t="s">
        <v>12</v>
      </c>
      <c r="C709" t="s">
        <v>40</v>
      </c>
      <c r="D709" t="s">
        <v>48</v>
      </c>
      <c r="E709">
        <v>73.7</v>
      </c>
      <c r="F709">
        <v>63.2</v>
      </c>
      <c r="G709" s="11" t="str" cm="1">
        <f t="array" ref="G709">TRIM(RemoveSpecial(D709))</f>
        <v>Physics / Applied Physics</v>
      </c>
      <c r="H709" s="11" t="e">
        <f>VLOOKUP(G709,'course-cluster'!$A$2:$C$137,3, FALSE)</f>
        <v>#N/A</v>
      </c>
      <c r="I709" s="12" t="s">
        <v>390</v>
      </c>
    </row>
    <row r="710" spans="1:9" x14ac:dyDescent="0.55000000000000004">
      <c r="A710">
        <v>2019</v>
      </c>
      <c r="B710" t="s">
        <v>12</v>
      </c>
      <c r="C710" t="s">
        <v>503</v>
      </c>
      <c r="D710" t="s">
        <v>514</v>
      </c>
      <c r="E710">
        <v>90</v>
      </c>
      <c r="F710">
        <v>78.600000000000009</v>
      </c>
      <c r="G710" s="11" t="str" cm="1">
        <f t="array" ref="G710">TRIM(RemoveSpecial(D710))</f>
        <v>Physics Applied Physics</v>
      </c>
      <c r="H710" s="11" t="e">
        <f>VLOOKUP(G710,'course-cluster'!$A$2:$C$137,3, FALSE)</f>
        <v>#N/A</v>
      </c>
      <c r="I710" s="12" t="s">
        <v>390</v>
      </c>
    </row>
    <row r="711" spans="1:9" x14ac:dyDescent="0.55000000000000004">
      <c r="A711">
        <v>2018</v>
      </c>
      <c r="B711" t="s">
        <v>12</v>
      </c>
      <c r="C711" t="s">
        <v>40</v>
      </c>
      <c r="D711" t="s">
        <v>314</v>
      </c>
      <c r="E711">
        <v>80.2</v>
      </c>
      <c r="F711">
        <v>74.099999999999994</v>
      </c>
      <c r="G711" s="11" t="str" cm="1">
        <f t="array" ref="G711">TRIM(RemoveSpecial(D711))</f>
        <v>Physics Applied Physics</v>
      </c>
      <c r="H711" s="11" t="e">
        <f>VLOOKUP(G711,'course-cluster'!$A$2:$C$137,3, FALSE)</f>
        <v>#N/A</v>
      </c>
      <c r="I711" s="12" t="s">
        <v>390</v>
      </c>
    </row>
    <row r="712" spans="1:9" x14ac:dyDescent="0.55000000000000004">
      <c r="A712">
        <v>2018</v>
      </c>
      <c r="B712" t="s">
        <v>12</v>
      </c>
      <c r="C712" t="s">
        <v>31</v>
      </c>
      <c r="D712" t="s">
        <v>38</v>
      </c>
      <c r="E712">
        <v>90.1</v>
      </c>
      <c r="F712">
        <v>78</v>
      </c>
      <c r="G712" s="11" t="str" cm="1">
        <f t="array" ref="G712">TRIM(RemoveSpecial(D712))</f>
        <v>Psychology</v>
      </c>
      <c r="H712" s="11" t="e">
        <f>VLOOKUP(G712,'course-cluster'!$A$2:$C$137,3, FALSE)</f>
        <v>#N/A</v>
      </c>
      <c r="I712" s="12" t="s">
        <v>393</v>
      </c>
    </row>
    <row r="713" spans="1:9" x14ac:dyDescent="0.55000000000000004">
      <c r="A713">
        <v>2019</v>
      </c>
      <c r="B713" t="s">
        <v>12</v>
      </c>
      <c r="C713" t="s">
        <v>31</v>
      </c>
      <c r="D713" t="s">
        <v>500</v>
      </c>
      <c r="E713">
        <v>89.2</v>
      </c>
      <c r="F713">
        <v>73.099999999999994</v>
      </c>
      <c r="G713" s="11" t="str" cm="1">
        <f t="array" ref="G713">TRIM(RemoveSpecial(D713))</f>
        <v>Psychology</v>
      </c>
      <c r="H713" s="11" t="e">
        <f>VLOOKUP(G713,'course-cluster'!$A$2:$C$137,3, FALSE)</f>
        <v>#N/A</v>
      </c>
      <c r="I713" s="12" t="s">
        <v>393</v>
      </c>
    </row>
    <row r="714" spans="1:9" x14ac:dyDescent="0.55000000000000004">
      <c r="A714">
        <v>2013</v>
      </c>
      <c r="B714" t="s">
        <v>12</v>
      </c>
      <c r="C714" t="s">
        <v>31</v>
      </c>
      <c r="D714" t="s">
        <v>38</v>
      </c>
      <c r="E714">
        <v>82.4</v>
      </c>
      <c r="F714">
        <v>71.8</v>
      </c>
      <c r="G714" s="11" t="str" cm="1">
        <f t="array" ref="G714">TRIM(RemoveSpecial(D714))</f>
        <v>Psychology</v>
      </c>
      <c r="H714" s="11" t="e">
        <f>VLOOKUP(G714,'course-cluster'!$A$2:$C$137,3, FALSE)</f>
        <v>#N/A</v>
      </c>
      <c r="I714" s="12" t="s">
        <v>393</v>
      </c>
    </row>
    <row r="715" spans="1:9" x14ac:dyDescent="0.55000000000000004">
      <c r="A715">
        <v>2016</v>
      </c>
      <c r="B715" t="s">
        <v>12</v>
      </c>
      <c r="C715" t="s">
        <v>31</v>
      </c>
      <c r="D715" t="s">
        <v>38</v>
      </c>
      <c r="E715">
        <v>82.1</v>
      </c>
      <c r="F715">
        <v>66.7</v>
      </c>
      <c r="G715" s="11" t="str" cm="1">
        <f t="array" ref="G715">TRIM(RemoveSpecial(D715))</f>
        <v>Psychology</v>
      </c>
      <c r="H715" s="11" t="e">
        <f>VLOOKUP(G715,'course-cluster'!$A$2:$C$137,3, FALSE)</f>
        <v>#N/A</v>
      </c>
      <c r="I715" s="12" t="s">
        <v>393</v>
      </c>
    </row>
    <row r="716" spans="1:9" x14ac:dyDescent="0.55000000000000004">
      <c r="A716">
        <v>2015</v>
      </c>
      <c r="B716" t="s">
        <v>12</v>
      </c>
      <c r="C716" t="s">
        <v>31</v>
      </c>
      <c r="D716" t="s">
        <v>38</v>
      </c>
      <c r="E716">
        <v>73.3</v>
      </c>
      <c r="F716">
        <v>52</v>
      </c>
      <c r="G716" s="11" t="str" cm="1">
        <f t="array" ref="G716">TRIM(RemoveSpecial(D716))</f>
        <v>Psychology</v>
      </c>
      <c r="H716" s="11" t="e">
        <f>VLOOKUP(G716,'course-cluster'!$A$2:$C$137,3, FALSE)</f>
        <v>#N/A</v>
      </c>
      <c r="I716" s="12" t="s">
        <v>393</v>
      </c>
    </row>
    <row r="717" spans="1:9" x14ac:dyDescent="0.55000000000000004">
      <c r="A717">
        <v>2014</v>
      </c>
      <c r="B717" t="s">
        <v>12</v>
      </c>
      <c r="C717" t="s">
        <v>31</v>
      </c>
      <c r="D717" t="s">
        <v>38</v>
      </c>
      <c r="E717">
        <v>66.7</v>
      </c>
      <c r="F717">
        <v>54.9</v>
      </c>
      <c r="G717" s="11" t="str" cm="1">
        <f t="array" ref="G717">TRIM(RemoveSpecial(D717))</f>
        <v>Psychology</v>
      </c>
      <c r="H717" s="11" t="e">
        <f>VLOOKUP(G717,'course-cluster'!$A$2:$C$137,3, FALSE)</f>
        <v>#N/A</v>
      </c>
      <c r="I717" s="12" t="s">
        <v>393</v>
      </c>
    </row>
    <row r="718" spans="1:9" x14ac:dyDescent="0.55000000000000004">
      <c r="A718">
        <v>2019</v>
      </c>
      <c r="B718" t="s">
        <v>12</v>
      </c>
      <c r="C718" t="s">
        <v>31</v>
      </c>
      <c r="D718" t="s">
        <v>501</v>
      </c>
      <c r="E718">
        <v>90.2</v>
      </c>
      <c r="F718">
        <v>87.8</v>
      </c>
      <c r="G718" s="11" t="str" cm="1">
        <f t="array" ref="G718">TRIM(RemoveSpecial(D718))</f>
        <v>Public Policy And Global Affairs</v>
      </c>
      <c r="H718" s="11" t="e">
        <f>VLOOKUP(G718,'course-cluster'!$A$2:$C$137,3, FALSE)</f>
        <v>#N/A</v>
      </c>
      <c r="I718" s="12" t="s">
        <v>393</v>
      </c>
    </row>
    <row r="719" spans="1:9" x14ac:dyDescent="0.55000000000000004">
      <c r="A719">
        <v>2018</v>
      </c>
      <c r="B719" t="s">
        <v>12</v>
      </c>
      <c r="C719" t="s">
        <v>31</v>
      </c>
      <c r="D719" t="s">
        <v>311</v>
      </c>
      <c r="E719">
        <v>80.599999999999994</v>
      </c>
      <c r="F719">
        <v>71</v>
      </c>
      <c r="G719" s="11" t="str" cm="1">
        <f t="array" ref="G719">TRIM(RemoveSpecial(D719))</f>
        <v>Public Policy and Global Affairs</v>
      </c>
      <c r="H719" s="11" t="e">
        <f>VLOOKUP(G719,'course-cluster'!$A$2:$C$137,3, FALSE)</f>
        <v>#N/A</v>
      </c>
      <c r="I719" s="12" t="s">
        <v>393</v>
      </c>
    </row>
    <row r="720" spans="1:9" x14ac:dyDescent="0.55000000000000004">
      <c r="A720">
        <v>2013</v>
      </c>
      <c r="B720" t="s">
        <v>12</v>
      </c>
      <c r="C720" t="s">
        <v>50</v>
      </c>
      <c r="D720" t="s">
        <v>51</v>
      </c>
      <c r="E720">
        <v>100</v>
      </c>
      <c r="F720">
        <v>100</v>
      </c>
      <c r="G720" s="11" t="str" cm="1">
        <f t="array" ref="G720">TRIM(RemoveSpecial(D720))</f>
        <v>Science (with Education)</v>
      </c>
      <c r="H720" s="11" t="e">
        <f>VLOOKUP(G720,'course-cluster'!$A$2:$C$137,3, FALSE)</f>
        <v>#N/A</v>
      </c>
      <c r="I720" s="12" t="s">
        <v>390</v>
      </c>
    </row>
    <row r="721" spans="1:9" x14ac:dyDescent="0.55000000000000004">
      <c r="A721">
        <v>2014</v>
      </c>
      <c r="B721" t="s">
        <v>12</v>
      </c>
      <c r="C721" t="s">
        <v>50</v>
      </c>
      <c r="D721" t="s">
        <v>51</v>
      </c>
      <c r="E721">
        <v>100</v>
      </c>
      <c r="F721">
        <v>100</v>
      </c>
      <c r="G721" s="11" t="str" cm="1">
        <f t="array" ref="G721">TRIM(RemoveSpecial(D721))</f>
        <v>Science (with Education)</v>
      </c>
      <c r="H721" s="11" t="e">
        <f>VLOOKUP(G721,'course-cluster'!$A$2:$C$137,3, FALSE)</f>
        <v>#N/A</v>
      </c>
      <c r="I721" s="12" t="s">
        <v>390</v>
      </c>
    </row>
    <row r="722" spans="1:9" x14ac:dyDescent="0.55000000000000004">
      <c r="A722">
        <v>2015</v>
      </c>
      <c r="B722" t="s">
        <v>12</v>
      </c>
      <c r="C722" t="s">
        <v>50</v>
      </c>
      <c r="D722" t="s">
        <v>51</v>
      </c>
      <c r="E722">
        <v>100</v>
      </c>
      <c r="F722">
        <v>100</v>
      </c>
      <c r="G722" s="11" t="str" cm="1">
        <f t="array" ref="G722">TRIM(RemoveSpecial(D722))</f>
        <v>Science (with Education)</v>
      </c>
      <c r="H722" s="11" t="e">
        <f>VLOOKUP(G722,'course-cluster'!$A$2:$C$137,3, FALSE)</f>
        <v>#N/A</v>
      </c>
      <c r="I722" s="12" t="s">
        <v>390</v>
      </c>
    </row>
    <row r="723" spans="1:9" x14ac:dyDescent="0.55000000000000004">
      <c r="A723">
        <v>2016</v>
      </c>
      <c r="B723" t="s">
        <v>12</v>
      </c>
      <c r="C723" t="s">
        <v>50</v>
      </c>
      <c r="D723" t="s">
        <v>51</v>
      </c>
      <c r="E723">
        <v>100</v>
      </c>
      <c r="F723">
        <v>100</v>
      </c>
      <c r="G723" s="11" t="str" cm="1">
        <f t="array" ref="G723">TRIM(RemoveSpecial(D723))</f>
        <v>Science (with Education)</v>
      </c>
      <c r="H723" s="11" t="e">
        <f>VLOOKUP(G723,'course-cluster'!$A$2:$C$137,3, FALSE)</f>
        <v>#N/A</v>
      </c>
      <c r="I723" s="12" t="s">
        <v>390</v>
      </c>
    </row>
    <row r="724" spans="1:9" x14ac:dyDescent="0.55000000000000004">
      <c r="A724">
        <v>2018</v>
      </c>
      <c r="B724" t="s">
        <v>12</v>
      </c>
      <c r="C724" t="s">
        <v>50</v>
      </c>
      <c r="D724" t="s">
        <v>316</v>
      </c>
      <c r="E724">
        <v>100</v>
      </c>
      <c r="F724">
        <v>100</v>
      </c>
      <c r="G724" s="11" t="str" cm="1">
        <f t="array" ref="G724">TRIM(RemoveSpecial(D724))</f>
        <v>Science (With Education)</v>
      </c>
      <c r="H724" s="11" t="e">
        <f>VLOOKUP(G724,'course-cluster'!$A$2:$C$137,3, FALSE)</f>
        <v>#N/A</v>
      </c>
      <c r="I724" s="12" t="s">
        <v>390</v>
      </c>
    </row>
    <row r="725" spans="1:9" x14ac:dyDescent="0.55000000000000004">
      <c r="A725">
        <v>2019</v>
      </c>
      <c r="B725" t="s">
        <v>12</v>
      </c>
      <c r="C725" t="s">
        <v>50</v>
      </c>
      <c r="D725" t="s">
        <v>506</v>
      </c>
      <c r="E725">
        <v>100</v>
      </c>
      <c r="F725">
        <v>100</v>
      </c>
      <c r="G725" s="11" t="str" cm="1">
        <f t="array" ref="G725">TRIM(RemoveSpecial(D725))</f>
        <v>Science (with Education)</v>
      </c>
      <c r="H725" s="11" t="e">
        <f>VLOOKUP(G725,'course-cluster'!$A$2:$C$137,3, FALSE)</f>
        <v>#N/A</v>
      </c>
      <c r="I725" s="12" t="s">
        <v>390</v>
      </c>
    </row>
    <row r="726" spans="1:9" x14ac:dyDescent="0.55000000000000004">
      <c r="A726">
        <v>2019</v>
      </c>
      <c r="B726" t="s">
        <v>103</v>
      </c>
      <c r="C726" t="s">
        <v>519</v>
      </c>
      <c r="D726" t="s">
        <v>523</v>
      </c>
      <c r="E726">
        <v>92.2</v>
      </c>
      <c r="F726">
        <v>82.8</v>
      </c>
      <c r="G726" s="11" t="str" cm="1">
        <f t="array" ref="G726">TRIM(RemoveSpecial(D726))</f>
        <v>Social Sciences</v>
      </c>
      <c r="H726" s="11" t="e">
        <f>VLOOKUP(G726,'course-cluster'!$A$2:$C$137,3, FALSE)</f>
        <v>#N/A</v>
      </c>
      <c r="I726" s="12" t="s">
        <v>393</v>
      </c>
    </row>
    <row r="727" spans="1:9" x14ac:dyDescent="0.55000000000000004">
      <c r="A727">
        <v>2016</v>
      </c>
      <c r="B727" t="s">
        <v>103</v>
      </c>
      <c r="C727" t="s">
        <v>140</v>
      </c>
      <c r="D727" t="s">
        <v>203</v>
      </c>
      <c r="E727">
        <v>91.5</v>
      </c>
      <c r="F727">
        <v>80.400000000000006</v>
      </c>
      <c r="G727" s="11" t="str" cm="1">
        <f t="array" ref="G727">TRIM(RemoveSpecial(D727))</f>
        <v>Social Sciences</v>
      </c>
      <c r="H727" s="11" t="e">
        <f>VLOOKUP(G727,'course-cluster'!$A$2:$C$137,3, FALSE)</f>
        <v>#N/A</v>
      </c>
      <c r="I727" s="12" t="s">
        <v>393</v>
      </c>
    </row>
    <row r="728" spans="1:9" x14ac:dyDescent="0.55000000000000004">
      <c r="A728">
        <v>2017</v>
      </c>
      <c r="B728" t="s">
        <v>103</v>
      </c>
      <c r="C728" t="s">
        <v>116</v>
      </c>
      <c r="D728" t="s">
        <v>203</v>
      </c>
      <c r="E728">
        <v>91.3</v>
      </c>
      <c r="F728">
        <v>78</v>
      </c>
      <c r="G728" s="11" t="str" cm="1">
        <f t="array" ref="G728">TRIM(RemoveSpecial(D728))</f>
        <v>Social Sciences</v>
      </c>
      <c r="H728" s="11" t="e">
        <f>VLOOKUP(G728,'course-cluster'!$A$2:$C$137,3, FALSE)</f>
        <v>#N/A</v>
      </c>
      <c r="I728" s="12" t="s">
        <v>393</v>
      </c>
    </row>
    <row r="729" spans="1:9" x14ac:dyDescent="0.55000000000000004">
      <c r="A729">
        <v>2015</v>
      </c>
      <c r="B729" t="s">
        <v>103</v>
      </c>
      <c r="C729" t="s">
        <v>140</v>
      </c>
      <c r="D729" t="s">
        <v>203</v>
      </c>
      <c r="E729">
        <v>89</v>
      </c>
      <c r="F729">
        <v>83</v>
      </c>
      <c r="G729" s="11" t="str" cm="1">
        <f t="array" ref="G729">TRIM(RemoveSpecial(D729))</f>
        <v>Social Sciences</v>
      </c>
      <c r="H729" s="11" t="e">
        <f>VLOOKUP(G729,'course-cluster'!$A$2:$C$137,3, FALSE)</f>
        <v>#N/A</v>
      </c>
      <c r="I729" s="12" t="s">
        <v>393</v>
      </c>
    </row>
    <row r="730" spans="1:9" x14ac:dyDescent="0.55000000000000004">
      <c r="A730">
        <v>2018</v>
      </c>
      <c r="B730" t="s">
        <v>103</v>
      </c>
      <c r="C730" t="s">
        <v>140</v>
      </c>
      <c r="D730" t="s">
        <v>203</v>
      </c>
      <c r="E730">
        <v>85.6</v>
      </c>
      <c r="F730">
        <v>74.400000000000006</v>
      </c>
      <c r="G730" s="11" t="str" cm="1">
        <f t="array" ref="G730">TRIM(RemoveSpecial(D730))</f>
        <v>Social Sciences</v>
      </c>
      <c r="H730" s="11" t="e">
        <f>VLOOKUP(G730,'course-cluster'!$A$2:$C$137,3, FALSE)</f>
        <v>#N/A</v>
      </c>
      <c r="I730" s="12" t="s">
        <v>393</v>
      </c>
    </row>
    <row r="731" spans="1:9" x14ac:dyDescent="0.55000000000000004">
      <c r="A731">
        <v>2014</v>
      </c>
      <c r="B731" t="s">
        <v>103</v>
      </c>
      <c r="C731" t="s">
        <v>140</v>
      </c>
      <c r="D731" t="s">
        <v>141</v>
      </c>
      <c r="E731">
        <v>90.9</v>
      </c>
      <c r="F731">
        <v>84.1</v>
      </c>
      <c r="G731" s="11" t="str" cm="1">
        <f t="array" ref="G731">TRIM(RemoveSpecial(D731))</f>
        <v>Social Sciences (4-year programme)</v>
      </c>
      <c r="H731" s="11" t="e">
        <f>VLOOKUP(G731,'course-cluster'!$A$2:$C$137,3, FALSE)</f>
        <v>#N/A</v>
      </c>
      <c r="I731" s="12" t="s">
        <v>393</v>
      </c>
    </row>
    <row r="732" spans="1:9" x14ac:dyDescent="0.55000000000000004">
      <c r="A732">
        <v>2014</v>
      </c>
      <c r="B732" t="s">
        <v>103</v>
      </c>
      <c r="C732" t="s">
        <v>140</v>
      </c>
      <c r="D732" t="s">
        <v>142</v>
      </c>
      <c r="E732">
        <v>87.5</v>
      </c>
      <c r="F732">
        <v>81.3</v>
      </c>
      <c r="G732" s="11" t="str" cm="1">
        <f t="array" ref="G732">TRIM(RemoveSpecial(D732))</f>
        <v>Social Sciences (4-year programme) Cum Laude and above</v>
      </c>
      <c r="H732" s="11" t="e">
        <f>VLOOKUP(G732,'course-cluster'!$A$2:$C$137,3, FALSE)</f>
        <v>#N/A</v>
      </c>
      <c r="I732" s="12" t="s">
        <v>393</v>
      </c>
    </row>
    <row r="733" spans="1:9" x14ac:dyDescent="0.55000000000000004">
      <c r="A733">
        <v>2013</v>
      </c>
      <c r="B733" t="s">
        <v>103</v>
      </c>
      <c r="C733" t="s">
        <v>116</v>
      </c>
      <c r="D733" t="s">
        <v>117</v>
      </c>
      <c r="E733">
        <v>86.5</v>
      </c>
      <c r="F733">
        <v>79.8</v>
      </c>
      <c r="G733" s="11" t="str" cm="1">
        <f t="array" ref="G733">TRIM(RemoveSpecial(D733))</f>
        <v>Social Sciences (4-years programme)</v>
      </c>
      <c r="H733" s="11" t="e">
        <f>VLOOKUP(G733,'course-cluster'!$A$2:$C$137,3, FALSE)</f>
        <v>#N/A</v>
      </c>
      <c r="I733" s="12" t="s">
        <v>393</v>
      </c>
    </row>
    <row r="734" spans="1:9" x14ac:dyDescent="0.55000000000000004">
      <c r="A734">
        <v>2013</v>
      </c>
      <c r="B734" t="s">
        <v>103</v>
      </c>
      <c r="C734" t="s">
        <v>116</v>
      </c>
      <c r="D734" t="s">
        <v>118</v>
      </c>
      <c r="E734">
        <v>87.5</v>
      </c>
      <c r="F734">
        <v>83.3</v>
      </c>
      <c r="G734" s="11" t="str" cm="1">
        <f t="array" ref="G734">TRIM(RemoveSpecial(D734))</f>
        <v>Social Sciences (4-years programme) Cum Laude and above</v>
      </c>
      <c r="H734" s="11" t="e">
        <f>VLOOKUP(G734,'course-cluster'!$A$2:$C$137,3, FALSE)</f>
        <v>#N/A</v>
      </c>
      <c r="I734" s="12" t="s">
        <v>393</v>
      </c>
    </row>
    <row r="735" spans="1:9" x14ac:dyDescent="0.55000000000000004">
      <c r="A735">
        <v>2018</v>
      </c>
      <c r="B735" t="s">
        <v>103</v>
      </c>
      <c r="C735" t="s">
        <v>140</v>
      </c>
      <c r="D735" t="s">
        <v>345</v>
      </c>
      <c r="E735">
        <v>84.2</v>
      </c>
      <c r="F735">
        <v>78.900000000000006</v>
      </c>
      <c r="G735" s="11" t="str" cm="1">
        <f t="array" ref="G735">TRIM(RemoveSpecial(D735))</f>
        <v>Social Sciences (Cum Laude and above)</v>
      </c>
      <c r="H735" s="11" t="e">
        <f>VLOOKUP(G735,'course-cluster'!$A$2:$C$137,3, FALSE)</f>
        <v>#N/A</v>
      </c>
      <c r="I735" s="12" t="s">
        <v>393</v>
      </c>
    </row>
    <row r="736" spans="1:9" x14ac:dyDescent="0.55000000000000004">
      <c r="A736">
        <v>2016</v>
      </c>
      <c r="B736" t="s">
        <v>103</v>
      </c>
      <c r="C736" t="s">
        <v>140</v>
      </c>
      <c r="D736" t="s">
        <v>204</v>
      </c>
      <c r="E736">
        <v>94.9</v>
      </c>
      <c r="F736">
        <v>87.2</v>
      </c>
      <c r="G736" s="11" t="str" cm="1">
        <f t="array" ref="G736">TRIM(RemoveSpecial(D736))</f>
        <v>Social Sciences Cum Laude and above</v>
      </c>
      <c r="H736" s="11" t="e">
        <f>VLOOKUP(G736,'course-cluster'!$A$2:$C$137,3, FALSE)</f>
        <v>#N/A</v>
      </c>
      <c r="I736" s="12" t="s">
        <v>393</v>
      </c>
    </row>
    <row r="737" spans="1:9" x14ac:dyDescent="0.55000000000000004">
      <c r="A737">
        <v>2015</v>
      </c>
      <c r="B737" t="s">
        <v>103</v>
      </c>
      <c r="C737" t="s">
        <v>140</v>
      </c>
      <c r="D737" t="s">
        <v>204</v>
      </c>
      <c r="E737">
        <v>93.1</v>
      </c>
      <c r="F737">
        <v>89.7</v>
      </c>
      <c r="G737" s="11" t="str" cm="1">
        <f t="array" ref="G737">TRIM(RemoveSpecial(D737))</f>
        <v>Social Sciences Cum Laude and above</v>
      </c>
      <c r="H737" s="11" t="e">
        <f>VLOOKUP(G737,'course-cluster'!$A$2:$C$137,3, FALSE)</f>
        <v>#N/A</v>
      </c>
      <c r="I737" s="12" t="s">
        <v>393</v>
      </c>
    </row>
    <row r="738" spans="1:9" x14ac:dyDescent="0.55000000000000004">
      <c r="A738">
        <v>2017</v>
      </c>
      <c r="B738" t="s">
        <v>103</v>
      </c>
      <c r="C738" t="s">
        <v>116</v>
      </c>
      <c r="D738" t="s">
        <v>204</v>
      </c>
      <c r="E738">
        <v>87.9</v>
      </c>
      <c r="F738">
        <v>81.8</v>
      </c>
      <c r="G738" s="11" t="str" cm="1">
        <f t="array" ref="G738">TRIM(RemoveSpecial(D738))</f>
        <v>Social Sciences Cum Laude and above</v>
      </c>
      <c r="H738" s="11" t="e">
        <f>VLOOKUP(G738,'course-cluster'!$A$2:$C$137,3, FALSE)</f>
        <v>#N/A</v>
      </c>
      <c r="I738" s="12" t="s">
        <v>393</v>
      </c>
    </row>
    <row r="739" spans="1:9" x14ac:dyDescent="0.55000000000000004">
      <c r="A739">
        <v>2019</v>
      </c>
      <c r="B739" t="s">
        <v>12</v>
      </c>
      <c r="C739" t="s">
        <v>31</v>
      </c>
      <c r="D739" t="s">
        <v>502</v>
      </c>
      <c r="E739">
        <v>86.9</v>
      </c>
      <c r="F739">
        <v>70.5</v>
      </c>
      <c r="G739" s="11" t="str" cm="1">
        <f t="array" ref="G739">TRIM(RemoveSpecial(D739))</f>
        <v>Sociology</v>
      </c>
      <c r="H739" s="11" t="e">
        <f>VLOOKUP(G739,'course-cluster'!$A$2:$C$137,3, FALSE)</f>
        <v>#N/A</v>
      </c>
      <c r="I739" s="12" t="s">
        <v>393</v>
      </c>
    </row>
    <row r="740" spans="1:9" x14ac:dyDescent="0.55000000000000004">
      <c r="A740">
        <v>2016</v>
      </c>
      <c r="B740" t="s">
        <v>12</v>
      </c>
      <c r="C740" t="s">
        <v>31</v>
      </c>
      <c r="D740" t="s">
        <v>39</v>
      </c>
      <c r="E740">
        <v>86.1</v>
      </c>
      <c r="F740">
        <v>63.9</v>
      </c>
      <c r="G740" s="11" t="str" cm="1">
        <f t="array" ref="G740">TRIM(RemoveSpecial(D740))</f>
        <v>Sociology</v>
      </c>
      <c r="H740" s="11" t="e">
        <f>VLOOKUP(G740,'course-cluster'!$A$2:$C$137,3, FALSE)</f>
        <v>#N/A</v>
      </c>
      <c r="I740" s="12" t="s">
        <v>393</v>
      </c>
    </row>
    <row r="741" spans="1:9" x14ac:dyDescent="0.55000000000000004">
      <c r="A741">
        <v>2015</v>
      </c>
      <c r="B741" t="s">
        <v>12</v>
      </c>
      <c r="C741" t="s">
        <v>31</v>
      </c>
      <c r="D741" t="s">
        <v>39</v>
      </c>
      <c r="E741">
        <v>85.7</v>
      </c>
      <c r="F741">
        <v>79.400000000000006</v>
      </c>
      <c r="G741" s="11" t="str" cm="1">
        <f t="array" ref="G741">TRIM(RemoveSpecial(D741))</f>
        <v>Sociology</v>
      </c>
      <c r="H741" s="11" t="e">
        <f>VLOOKUP(G741,'course-cluster'!$A$2:$C$137,3, FALSE)</f>
        <v>#N/A</v>
      </c>
      <c r="I741" s="12" t="s">
        <v>393</v>
      </c>
    </row>
    <row r="742" spans="1:9" x14ac:dyDescent="0.55000000000000004">
      <c r="A742">
        <v>2018</v>
      </c>
      <c r="B742" t="s">
        <v>12</v>
      </c>
      <c r="C742" t="s">
        <v>31</v>
      </c>
      <c r="D742" t="s">
        <v>39</v>
      </c>
      <c r="E742">
        <v>80.2</v>
      </c>
      <c r="F742">
        <v>60.4</v>
      </c>
      <c r="G742" s="11" t="str" cm="1">
        <f t="array" ref="G742">TRIM(RemoveSpecial(D742))</f>
        <v>Sociology</v>
      </c>
      <c r="H742" s="11" t="e">
        <f>VLOOKUP(G742,'course-cluster'!$A$2:$C$137,3, FALSE)</f>
        <v>#N/A</v>
      </c>
      <c r="I742" s="12" t="s">
        <v>393</v>
      </c>
    </row>
    <row r="743" spans="1:9" x14ac:dyDescent="0.55000000000000004">
      <c r="A743">
        <v>2013</v>
      </c>
      <c r="B743" t="s">
        <v>12</v>
      </c>
      <c r="C743" t="s">
        <v>31</v>
      </c>
      <c r="D743" t="s">
        <v>39</v>
      </c>
      <c r="E743">
        <v>74.400000000000006</v>
      </c>
      <c r="F743">
        <v>55.8</v>
      </c>
      <c r="G743" s="11" t="str" cm="1">
        <f t="array" ref="G743">TRIM(RemoveSpecial(D743))</f>
        <v>Sociology</v>
      </c>
      <c r="H743" s="11" t="e">
        <f>VLOOKUP(G743,'course-cluster'!$A$2:$C$137,3, FALSE)</f>
        <v>#N/A</v>
      </c>
      <c r="I743" s="12" t="s">
        <v>393</v>
      </c>
    </row>
    <row r="744" spans="1:9" x14ac:dyDescent="0.55000000000000004">
      <c r="A744">
        <v>2014</v>
      </c>
      <c r="B744" t="s">
        <v>12</v>
      </c>
      <c r="C744" t="s">
        <v>31</v>
      </c>
      <c r="D744" t="s">
        <v>39</v>
      </c>
      <c r="E744">
        <v>73.2</v>
      </c>
      <c r="F744">
        <v>67.900000000000006</v>
      </c>
      <c r="G744" s="11" t="str" cm="1">
        <f t="array" ref="G744">TRIM(RemoveSpecial(D744))</f>
        <v>Sociology</v>
      </c>
      <c r="H744" s="11" t="e">
        <f>VLOOKUP(G744,'course-cluster'!$A$2:$C$137,3, FALSE)</f>
        <v>#N/A</v>
      </c>
      <c r="I744" s="12" t="s">
        <v>393</v>
      </c>
    </row>
    <row r="745" spans="1:9" x14ac:dyDescent="0.55000000000000004">
      <c r="A745">
        <v>2018</v>
      </c>
      <c r="B745" t="s">
        <v>12</v>
      </c>
      <c r="C745" t="s">
        <v>279</v>
      </c>
      <c r="D745" t="s">
        <v>279</v>
      </c>
      <c r="E745">
        <v>87</v>
      </c>
      <c r="F745">
        <v>61.1</v>
      </c>
      <c r="G745" s="11" t="str" cm="1">
        <f t="array" ref="G745">TRIM(RemoveSpecial(D745))</f>
        <v>Sport Science and Management</v>
      </c>
      <c r="H745" s="11" t="e">
        <f>VLOOKUP(G745,'course-cluster'!$A$2:$C$137,3, FALSE)</f>
        <v>#N/A</v>
      </c>
      <c r="I745" s="12" t="s">
        <v>390</v>
      </c>
    </row>
    <row r="746" spans="1:9" x14ac:dyDescent="0.55000000000000004">
      <c r="A746">
        <v>2015</v>
      </c>
      <c r="B746" t="s">
        <v>12</v>
      </c>
      <c r="C746" t="s">
        <v>40</v>
      </c>
      <c r="D746" t="s">
        <v>49</v>
      </c>
      <c r="E746">
        <v>90.7</v>
      </c>
      <c r="F746">
        <v>72.099999999999994</v>
      </c>
      <c r="G746" s="11" t="str" cm="1">
        <f t="array" ref="G746">TRIM(RemoveSpecial(D746))</f>
        <v>Sports Science and Management</v>
      </c>
      <c r="H746" s="11" t="e">
        <f>VLOOKUP(G746,'course-cluster'!$A$2:$C$137,3, FALSE)</f>
        <v>#N/A</v>
      </c>
      <c r="I746" s="12" t="s">
        <v>390</v>
      </c>
    </row>
    <row r="747" spans="1:9" x14ac:dyDescent="0.55000000000000004">
      <c r="A747">
        <v>2014</v>
      </c>
      <c r="B747" t="s">
        <v>12</v>
      </c>
      <c r="C747" t="s">
        <v>40</v>
      </c>
      <c r="D747" t="s">
        <v>49</v>
      </c>
      <c r="E747">
        <v>87.9</v>
      </c>
      <c r="F747">
        <v>69.7</v>
      </c>
      <c r="G747" s="11" t="str" cm="1">
        <f t="array" ref="G747">TRIM(RemoveSpecial(D747))</f>
        <v>Sports Science and Management</v>
      </c>
      <c r="H747" s="11" t="e">
        <f>VLOOKUP(G747,'course-cluster'!$A$2:$C$137,3, FALSE)</f>
        <v>#N/A</v>
      </c>
      <c r="I747" s="12" t="s">
        <v>390</v>
      </c>
    </row>
    <row r="748" spans="1:9" x14ac:dyDescent="0.55000000000000004">
      <c r="A748">
        <v>2019</v>
      </c>
      <c r="B748" t="s">
        <v>12</v>
      </c>
      <c r="C748" t="s">
        <v>49</v>
      </c>
      <c r="D748" t="s">
        <v>49</v>
      </c>
      <c r="E748">
        <v>87</v>
      </c>
      <c r="F748">
        <v>55.600000000000009</v>
      </c>
      <c r="G748" s="11" t="str" cm="1">
        <f t="array" ref="G748">TRIM(RemoveSpecial(D748))</f>
        <v>Sports Science and Management</v>
      </c>
      <c r="H748" s="11" t="e">
        <f>VLOOKUP(G748,'course-cluster'!$A$2:$C$137,3, FALSE)</f>
        <v>#N/A</v>
      </c>
      <c r="I748" s="12" t="s">
        <v>390</v>
      </c>
    </row>
    <row r="749" spans="1:9" x14ac:dyDescent="0.55000000000000004">
      <c r="A749">
        <v>2016</v>
      </c>
      <c r="B749" t="s">
        <v>12</v>
      </c>
      <c r="C749" t="s">
        <v>49</v>
      </c>
      <c r="D749" t="s">
        <v>49</v>
      </c>
      <c r="E749">
        <v>83.1</v>
      </c>
      <c r="F749">
        <v>66.099999999999994</v>
      </c>
      <c r="G749" s="11" t="str" cm="1">
        <f t="array" ref="G749">TRIM(RemoveSpecial(D749))</f>
        <v>Sports Science and Management</v>
      </c>
      <c r="H749" s="11" t="e">
        <f>VLOOKUP(G749,'course-cluster'!$A$2:$C$137,3, FALSE)</f>
        <v>#N/A</v>
      </c>
      <c r="I749" s="12" t="s">
        <v>390</v>
      </c>
    </row>
    <row r="750" spans="1:9" x14ac:dyDescent="0.55000000000000004">
      <c r="A750">
        <v>2013</v>
      </c>
      <c r="B750" t="s">
        <v>12</v>
      </c>
      <c r="C750" t="s">
        <v>40</v>
      </c>
      <c r="D750" t="s">
        <v>49</v>
      </c>
      <c r="E750">
        <v>68.2</v>
      </c>
      <c r="F750">
        <v>59.1</v>
      </c>
      <c r="G750" s="11" t="str" cm="1">
        <f t="array" ref="G750">TRIM(RemoveSpecial(D750))</f>
        <v>Sports Science and Management</v>
      </c>
      <c r="H750" s="11" t="e">
        <f>VLOOKUP(G750,'course-cluster'!$A$2:$C$137,3, FALSE)</f>
        <v>#N/A</v>
      </c>
      <c r="I750" s="12" t="s">
        <v>390</v>
      </c>
    </row>
  </sheetData>
  <autoFilter ref="A1:I750" xr:uid="{EDE61130-C6A6-4B54-A5EE-776EA6C797F8}">
    <sortState xmlns:xlrd2="http://schemas.microsoft.com/office/spreadsheetml/2017/richdata2" ref="A2:I750">
      <sortCondition ref="G1:G75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04B09-23B6-4626-95DF-D12DD0319AAC}">
  <sheetPr codeName="Sheet5"/>
  <dimension ref="A1:F41"/>
  <sheetViews>
    <sheetView workbookViewId="0">
      <selection activeCell="E2" sqref="E2"/>
    </sheetView>
  </sheetViews>
  <sheetFormatPr defaultRowHeight="14.4" x14ac:dyDescent="0.55000000000000004"/>
  <cols>
    <col min="2" max="3" width="17.89453125" customWidth="1"/>
    <col min="4" max="4" width="18.62890625" customWidth="1"/>
    <col min="5" max="5" width="17.20703125" customWidth="1"/>
  </cols>
  <sheetData>
    <row r="1" spans="1:6" x14ac:dyDescent="0.55000000000000004">
      <c r="A1" t="s">
        <v>434</v>
      </c>
      <c r="B1" t="s">
        <v>360</v>
      </c>
      <c r="C1" t="s">
        <v>435</v>
      </c>
      <c r="D1" t="s">
        <v>436</v>
      </c>
      <c r="E1" t="s">
        <v>438</v>
      </c>
    </row>
    <row r="2" spans="1:6" x14ac:dyDescent="0.55000000000000004">
      <c r="A2">
        <v>2013</v>
      </c>
      <c r="B2" t="s">
        <v>437</v>
      </c>
      <c r="C2" s="9">
        <v>15365</v>
      </c>
      <c r="D2">
        <v>72</v>
      </c>
      <c r="E2" s="7">
        <f>INT(C2*(D2/100))</f>
        <v>11062</v>
      </c>
      <c r="F2" s="7"/>
    </row>
    <row r="3" spans="1:6" x14ac:dyDescent="0.55000000000000004">
      <c r="A3">
        <v>2014</v>
      </c>
      <c r="B3" t="s">
        <v>439</v>
      </c>
      <c r="C3" s="9">
        <v>14868</v>
      </c>
      <c r="D3">
        <v>75</v>
      </c>
      <c r="E3" s="7">
        <f>INT(C3*(D3/100))</f>
        <v>11151</v>
      </c>
    </row>
    <row r="4" spans="1:6" x14ac:dyDescent="0.55000000000000004">
      <c r="A4">
        <v>2015</v>
      </c>
      <c r="B4" t="s">
        <v>362</v>
      </c>
      <c r="C4" s="9">
        <v>6188</v>
      </c>
      <c r="D4">
        <v>74.8</v>
      </c>
      <c r="E4" s="7">
        <f t="shared" ref="E4:E41" si="0">INT(C4*(D4/100))</f>
        <v>4628</v>
      </c>
    </row>
    <row r="5" spans="1:6" x14ac:dyDescent="0.55000000000000004">
      <c r="A5">
        <v>2015</v>
      </c>
      <c r="B5" t="s">
        <v>363</v>
      </c>
      <c r="C5" s="9">
        <v>5774</v>
      </c>
      <c r="D5">
        <v>71.900000000000006</v>
      </c>
      <c r="E5" s="7">
        <f t="shared" si="0"/>
        <v>4151</v>
      </c>
    </row>
    <row r="6" spans="1:6" x14ac:dyDescent="0.55000000000000004">
      <c r="A6">
        <v>2015</v>
      </c>
      <c r="B6" t="s">
        <v>369</v>
      </c>
      <c r="C6" s="9">
        <v>1638</v>
      </c>
      <c r="D6">
        <v>76.2</v>
      </c>
      <c r="E6" s="7">
        <f t="shared" si="0"/>
        <v>1248</v>
      </c>
    </row>
    <row r="7" spans="1:6" x14ac:dyDescent="0.55000000000000004">
      <c r="A7">
        <v>2015</v>
      </c>
      <c r="B7" t="s">
        <v>364</v>
      </c>
      <c r="C7" s="10">
        <v>1363</v>
      </c>
      <c r="D7">
        <v>78.900000000000006</v>
      </c>
      <c r="E7" s="7">
        <f t="shared" si="0"/>
        <v>1075</v>
      </c>
    </row>
    <row r="8" spans="1:6" x14ac:dyDescent="0.55000000000000004">
      <c r="A8">
        <v>2015</v>
      </c>
      <c r="B8" t="s">
        <v>367</v>
      </c>
      <c r="C8" s="10">
        <v>298</v>
      </c>
      <c r="D8">
        <v>86.2</v>
      </c>
      <c r="E8" s="7">
        <f t="shared" si="0"/>
        <v>256</v>
      </c>
    </row>
    <row r="9" spans="1:6" x14ac:dyDescent="0.55000000000000004">
      <c r="A9">
        <v>2016</v>
      </c>
      <c r="B9" t="s">
        <v>363</v>
      </c>
      <c r="C9" s="8">
        <v>5836</v>
      </c>
      <c r="D9">
        <v>77</v>
      </c>
      <c r="E9" s="7">
        <f t="shared" si="0"/>
        <v>4493</v>
      </c>
    </row>
    <row r="10" spans="1:6" x14ac:dyDescent="0.55000000000000004">
      <c r="A10">
        <v>2016</v>
      </c>
      <c r="B10" t="s">
        <v>362</v>
      </c>
      <c r="C10" s="8">
        <v>6314</v>
      </c>
      <c r="D10">
        <v>80.400000000000006</v>
      </c>
      <c r="E10" s="7">
        <f t="shared" si="0"/>
        <v>5076</v>
      </c>
    </row>
    <row r="11" spans="1:6" x14ac:dyDescent="0.55000000000000004">
      <c r="A11">
        <v>2016</v>
      </c>
      <c r="B11" t="s">
        <v>369</v>
      </c>
      <c r="C11" s="8">
        <v>1803</v>
      </c>
      <c r="D11">
        <v>74.099999999999994</v>
      </c>
      <c r="E11" s="7">
        <f t="shared" si="0"/>
        <v>1336</v>
      </c>
    </row>
    <row r="12" spans="1:6" x14ac:dyDescent="0.55000000000000004">
      <c r="A12">
        <v>2016</v>
      </c>
      <c r="B12" t="s">
        <v>367</v>
      </c>
      <c r="C12">
        <v>246</v>
      </c>
      <c r="D12">
        <v>83.7</v>
      </c>
      <c r="E12" s="7">
        <f t="shared" si="0"/>
        <v>205</v>
      </c>
    </row>
    <row r="13" spans="1:6" x14ac:dyDescent="0.55000000000000004">
      <c r="A13">
        <v>2016</v>
      </c>
      <c r="B13" t="s">
        <v>364</v>
      </c>
      <c r="C13" s="8">
        <v>1230</v>
      </c>
      <c r="D13">
        <v>84.6</v>
      </c>
      <c r="E13" s="7">
        <f t="shared" si="0"/>
        <v>1040</v>
      </c>
    </row>
    <row r="14" spans="1:6" x14ac:dyDescent="0.55000000000000004">
      <c r="A14">
        <v>2017</v>
      </c>
      <c r="B14" t="s">
        <v>363</v>
      </c>
      <c r="C14" s="8">
        <v>6042</v>
      </c>
      <c r="D14">
        <v>84.3</v>
      </c>
      <c r="E14" s="7">
        <f t="shared" si="0"/>
        <v>5093</v>
      </c>
    </row>
    <row r="15" spans="1:6" x14ac:dyDescent="0.55000000000000004">
      <c r="A15">
        <v>2017</v>
      </c>
      <c r="B15" t="s">
        <v>363</v>
      </c>
      <c r="C15" s="8">
        <v>30</v>
      </c>
      <c r="D15">
        <v>100</v>
      </c>
      <c r="E15" s="7">
        <f t="shared" si="0"/>
        <v>30</v>
      </c>
    </row>
    <row r="16" spans="1:6" x14ac:dyDescent="0.55000000000000004">
      <c r="A16">
        <v>2017</v>
      </c>
      <c r="B16" t="s">
        <v>362</v>
      </c>
      <c r="C16" s="8">
        <v>6466</v>
      </c>
      <c r="D16">
        <v>80.599999999999994</v>
      </c>
      <c r="E16" s="7">
        <f t="shared" si="0"/>
        <v>5211</v>
      </c>
    </row>
    <row r="17" spans="1:5" x14ac:dyDescent="0.55000000000000004">
      <c r="A17">
        <v>2017</v>
      </c>
      <c r="B17" t="s">
        <v>362</v>
      </c>
      <c r="C17" s="8">
        <v>825</v>
      </c>
      <c r="D17">
        <v>72.099999999999994</v>
      </c>
      <c r="E17" s="7">
        <f t="shared" si="0"/>
        <v>594</v>
      </c>
    </row>
    <row r="18" spans="1:5" x14ac:dyDescent="0.55000000000000004">
      <c r="A18">
        <v>2017</v>
      </c>
      <c r="B18" t="s">
        <v>369</v>
      </c>
      <c r="C18" s="8">
        <v>1779</v>
      </c>
      <c r="D18">
        <v>77.599999999999994</v>
      </c>
      <c r="E18" s="7">
        <f t="shared" si="0"/>
        <v>1380</v>
      </c>
    </row>
    <row r="19" spans="1:5" x14ac:dyDescent="0.55000000000000004">
      <c r="A19">
        <v>2017</v>
      </c>
      <c r="B19" t="s">
        <v>369</v>
      </c>
      <c r="C19">
        <v>114</v>
      </c>
      <c r="D19">
        <v>75.400000000000006</v>
      </c>
      <c r="E19" s="7">
        <f t="shared" si="0"/>
        <v>85</v>
      </c>
    </row>
    <row r="20" spans="1:5" x14ac:dyDescent="0.55000000000000004">
      <c r="A20">
        <v>2017</v>
      </c>
      <c r="B20" t="s">
        <v>367</v>
      </c>
      <c r="C20" s="8">
        <v>228</v>
      </c>
      <c r="D20">
        <v>85.4</v>
      </c>
      <c r="E20" s="7">
        <f t="shared" si="0"/>
        <v>194</v>
      </c>
    </row>
    <row r="21" spans="1:5" x14ac:dyDescent="0.55000000000000004">
      <c r="A21">
        <v>2017</v>
      </c>
      <c r="B21" t="s">
        <v>364</v>
      </c>
      <c r="C21" s="8">
        <v>1530</v>
      </c>
      <c r="D21">
        <v>85.6</v>
      </c>
      <c r="E21" s="7">
        <f t="shared" si="0"/>
        <v>1309</v>
      </c>
    </row>
    <row r="22" spans="1:5" x14ac:dyDescent="0.55000000000000004">
      <c r="A22">
        <v>2018</v>
      </c>
      <c r="B22" t="s">
        <v>363</v>
      </c>
      <c r="C22" s="8">
        <v>5900</v>
      </c>
      <c r="D22">
        <v>75.900000000000006</v>
      </c>
      <c r="E22" s="7">
        <f t="shared" si="0"/>
        <v>4478</v>
      </c>
    </row>
    <row r="23" spans="1:5" x14ac:dyDescent="0.55000000000000004">
      <c r="A23">
        <v>2018</v>
      </c>
      <c r="B23" t="s">
        <v>363</v>
      </c>
      <c r="C23" s="8">
        <v>28</v>
      </c>
      <c r="D23">
        <v>96.4</v>
      </c>
      <c r="E23" s="7">
        <f t="shared" si="0"/>
        <v>26</v>
      </c>
    </row>
    <row r="24" spans="1:5" x14ac:dyDescent="0.55000000000000004">
      <c r="A24">
        <v>2018</v>
      </c>
      <c r="B24" t="s">
        <v>362</v>
      </c>
      <c r="C24" s="8">
        <v>6699</v>
      </c>
      <c r="D24">
        <v>76.3</v>
      </c>
      <c r="E24" s="7">
        <f t="shared" si="0"/>
        <v>5111</v>
      </c>
    </row>
    <row r="25" spans="1:5" x14ac:dyDescent="0.55000000000000004">
      <c r="A25">
        <v>2018</v>
      </c>
      <c r="B25" t="s">
        <v>362</v>
      </c>
      <c r="C25" s="8">
        <v>877</v>
      </c>
      <c r="D25">
        <v>68.400000000000006</v>
      </c>
      <c r="E25" s="7">
        <f t="shared" si="0"/>
        <v>599</v>
      </c>
    </row>
    <row r="26" spans="1:5" x14ac:dyDescent="0.55000000000000004">
      <c r="A26">
        <v>2018</v>
      </c>
      <c r="B26" t="s">
        <v>369</v>
      </c>
      <c r="C26" s="8">
        <v>1886</v>
      </c>
      <c r="D26">
        <v>79.7</v>
      </c>
      <c r="E26" s="7">
        <f t="shared" si="0"/>
        <v>1503</v>
      </c>
    </row>
    <row r="27" spans="1:5" x14ac:dyDescent="0.55000000000000004">
      <c r="A27">
        <v>2018</v>
      </c>
      <c r="B27" t="s">
        <v>369</v>
      </c>
      <c r="C27" s="8">
        <v>145</v>
      </c>
      <c r="D27">
        <v>77.2</v>
      </c>
      <c r="E27" s="7">
        <f t="shared" si="0"/>
        <v>111</v>
      </c>
    </row>
    <row r="28" spans="1:5" x14ac:dyDescent="0.55000000000000004">
      <c r="A28">
        <v>2018</v>
      </c>
      <c r="B28" t="s">
        <v>371</v>
      </c>
      <c r="C28" s="8">
        <v>168</v>
      </c>
      <c r="D28">
        <v>91.7</v>
      </c>
      <c r="E28" s="7">
        <f t="shared" si="0"/>
        <v>154</v>
      </c>
    </row>
    <row r="29" spans="1:5" x14ac:dyDescent="0.55000000000000004">
      <c r="A29">
        <v>2018</v>
      </c>
      <c r="B29" t="s">
        <v>367</v>
      </c>
      <c r="C29" s="8">
        <v>334</v>
      </c>
      <c r="D29">
        <v>85.3</v>
      </c>
      <c r="E29" s="7">
        <f t="shared" si="0"/>
        <v>284</v>
      </c>
    </row>
    <row r="30" spans="1:5" x14ac:dyDescent="0.55000000000000004">
      <c r="A30">
        <v>2018</v>
      </c>
      <c r="B30" t="s">
        <v>367</v>
      </c>
      <c r="C30" s="8">
        <v>76</v>
      </c>
      <c r="D30">
        <v>84.2</v>
      </c>
      <c r="E30" s="7">
        <f t="shared" si="0"/>
        <v>63</v>
      </c>
    </row>
    <row r="31" spans="1:5" x14ac:dyDescent="0.55000000000000004">
      <c r="A31">
        <v>2018</v>
      </c>
      <c r="B31" t="s">
        <v>364</v>
      </c>
      <c r="C31" s="8">
        <v>1707</v>
      </c>
      <c r="D31">
        <v>85.2</v>
      </c>
      <c r="E31" s="7">
        <f t="shared" si="0"/>
        <v>1454</v>
      </c>
    </row>
    <row r="32" spans="1:5" x14ac:dyDescent="0.55000000000000004">
      <c r="A32">
        <v>2019</v>
      </c>
      <c r="B32" t="s">
        <v>362</v>
      </c>
      <c r="C32" s="8">
        <v>6609</v>
      </c>
      <c r="D32">
        <v>77.900000000000006</v>
      </c>
      <c r="E32" s="7">
        <f t="shared" si="0"/>
        <v>5148</v>
      </c>
    </row>
    <row r="33" spans="1:5" x14ac:dyDescent="0.55000000000000004">
      <c r="A33">
        <v>2019</v>
      </c>
      <c r="B33" t="s">
        <v>362</v>
      </c>
      <c r="C33" s="8">
        <v>870</v>
      </c>
      <c r="D33">
        <v>74.7</v>
      </c>
      <c r="E33" s="7">
        <f t="shared" si="0"/>
        <v>649</v>
      </c>
    </row>
    <row r="34" spans="1:5" x14ac:dyDescent="0.55000000000000004">
      <c r="A34">
        <v>2019</v>
      </c>
      <c r="B34" t="s">
        <v>363</v>
      </c>
      <c r="C34" s="8">
        <v>5909</v>
      </c>
      <c r="D34">
        <v>78.400000000000006</v>
      </c>
      <c r="E34" s="7">
        <f t="shared" si="0"/>
        <v>4632</v>
      </c>
    </row>
    <row r="35" spans="1:5" x14ac:dyDescent="0.55000000000000004">
      <c r="A35">
        <v>2019</v>
      </c>
      <c r="B35" t="s">
        <v>363</v>
      </c>
      <c r="C35" s="8">
        <v>75</v>
      </c>
      <c r="D35">
        <v>80</v>
      </c>
      <c r="E35" s="7">
        <f t="shared" si="0"/>
        <v>60</v>
      </c>
    </row>
    <row r="36" spans="1:5" x14ac:dyDescent="0.55000000000000004">
      <c r="A36">
        <v>2019</v>
      </c>
      <c r="B36" t="s">
        <v>369</v>
      </c>
      <c r="C36" s="8">
        <v>1842</v>
      </c>
      <c r="D36">
        <v>77</v>
      </c>
      <c r="E36" s="7">
        <f t="shared" si="0"/>
        <v>1418</v>
      </c>
    </row>
    <row r="37" spans="1:5" x14ac:dyDescent="0.55000000000000004">
      <c r="A37">
        <v>2019</v>
      </c>
      <c r="B37" t="s">
        <v>369</v>
      </c>
      <c r="C37">
        <v>161</v>
      </c>
      <c r="D37">
        <v>72.7</v>
      </c>
      <c r="E37" s="7">
        <f t="shared" si="0"/>
        <v>117</v>
      </c>
    </row>
    <row r="38" spans="1:5" x14ac:dyDescent="0.55000000000000004">
      <c r="A38">
        <v>2019</v>
      </c>
      <c r="B38" t="s">
        <v>367</v>
      </c>
      <c r="C38" s="8">
        <v>431</v>
      </c>
      <c r="D38">
        <v>85.8</v>
      </c>
      <c r="E38" s="7">
        <f t="shared" si="0"/>
        <v>369</v>
      </c>
    </row>
    <row r="39" spans="1:5" x14ac:dyDescent="0.55000000000000004">
      <c r="A39">
        <v>2019</v>
      </c>
      <c r="B39" t="s">
        <v>367</v>
      </c>
      <c r="C39" s="8">
        <v>62</v>
      </c>
      <c r="D39">
        <v>80.599999999999994</v>
      </c>
      <c r="E39" s="7">
        <f t="shared" si="0"/>
        <v>49</v>
      </c>
    </row>
    <row r="40" spans="1:5" x14ac:dyDescent="0.55000000000000004">
      <c r="A40">
        <v>2019</v>
      </c>
      <c r="B40" t="s">
        <v>364</v>
      </c>
      <c r="C40" s="8">
        <v>1809</v>
      </c>
      <c r="D40">
        <v>83.3</v>
      </c>
      <c r="E40" s="7">
        <f t="shared" si="0"/>
        <v>1506</v>
      </c>
    </row>
    <row r="41" spans="1:5" x14ac:dyDescent="0.55000000000000004">
      <c r="A41">
        <v>2019</v>
      </c>
      <c r="B41" t="s">
        <v>371</v>
      </c>
      <c r="C41">
        <v>252</v>
      </c>
      <c r="D41">
        <v>87.3</v>
      </c>
      <c r="E41" s="7">
        <f t="shared" si="0"/>
        <v>219</v>
      </c>
    </row>
  </sheetData>
  <autoFilter ref="A1:E31" xr:uid="{A76C85E4-EB1E-4A99-AE3E-D89E6683FBCF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7D8B-B37C-49E1-A6E0-5B51FF41A4F4}">
  <dimension ref="A3:B11"/>
  <sheetViews>
    <sheetView workbookViewId="0">
      <selection activeCell="D18" sqref="D18"/>
    </sheetView>
  </sheetViews>
  <sheetFormatPr defaultRowHeight="14.4" x14ac:dyDescent="0.55000000000000004"/>
  <cols>
    <col min="1" max="1" width="12.05078125" bestFit="1" customWidth="1"/>
    <col min="2" max="2" width="20.89453125" bestFit="1" customWidth="1"/>
  </cols>
  <sheetData>
    <row r="3" spans="1:2" x14ac:dyDescent="0.55000000000000004">
      <c r="A3" s="3" t="s">
        <v>431</v>
      </c>
      <c r="B3" t="s">
        <v>440</v>
      </c>
    </row>
    <row r="4" spans="1:2" x14ac:dyDescent="0.55000000000000004">
      <c r="A4" s="4">
        <v>2013</v>
      </c>
      <c r="B4" s="5">
        <v>11062</v>
      </c>
    </row>
    <row r="5" spans="1:2" x14ac:dyDescent="0.55000000000000004">
      <c r="A5" s="4">
        <v>2014</v>
      </c>
      <c r="B5" s="5">
        <v>11151</v>
      </c>
    </row>
    <row r="6" spans="1:2" x14ac:dyDescent="0.55000000000000004">
      <c r="A6" s="4">
        <v>2015</v>
      </c>
      <c r="B6" s="5">
        <v>11358</v>
      </c>
    </row>
    <row r="7" spans="1:2" x14ac:dyDescent="0.55000000000000004">
      <c r="A7" s="4">
        <v>2016</v>
      </c>
      <c r="B7" s="5">
        <v>12150</v>
      </c>
    </row>
    <row r="8" spans="1:2" x14ac:dyDescent="0.55000000000000004">
      <c r="A8" s="4">
        <v>2017</v>
      </c>
      <c r="B8" s="5">
        <v>13896</v>
      </c>
    </row>
    <row r="9" spans="1:2" x14ac:dyDescent="0.55000000000000004">
      <c r="A9" s="4">
        <v>2018</v>
      </c>
      <c r="B9" s="5">
        <v>13783</v>
      </c>
    </row>
    <row r="10" spans="1:2" x14ac:dyDescent="0.55000000000000004">
      <c r="A10" s="4">
        <v>2019</v>
      </c>
      <c r="B10" s="5">
        <v>14167</v>
      </c>
    </row>
    <row r="11" spans="1:2" x14ac:dyDescent="0.55000000000000004">
      <c r="A11" s="4" t="s">
        <v>430</v>
      </c>
      <c r="B11" s="5">
        <v>87567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614E2-66CD-4677-98C0-3031C874B8BF}">
  <dimension ref="A1:D8"/>
  <sheetViews>
    <sheetView tabSelected="1" workbookViewId="0">
      <selection activeCell="G2" sqref="G2"/>
    </sheetView>
  </sheetViews>
  <sheetFormatPr defaultRowHeight="14.4" x14ac:dyDescent="0.55000000000000004"/>
  <cols>
    <col min="2" max="2" width="15.47265625" customWidth="1"/>
    <col min="3" max="3" width="11" customWidth="1"/>
    <col min="4" max="4" width="12.26171875" customWidth="1"/>
  </cols>
  <sheetData>
    <row r="1" spans="1:4" ht="43.2" x14ac:dyDescent="0.55000000000000004">
      <c r="A1" s="13" t="s">
        <v>434</v>
      </c>
      <c r="B1" s="13" t="s">
        <v>570</v>
      </c>
      <c r="C1" s="13" t="s">
        <v>571</v>
      </c>
      <c r="D1" s="13" t="s">
        <v>569</v>
      </c>
    </row>
    <row r="2" spans="1:4" x14ac:dyDescent="0.55000000000000004">
      <c r="A2">
        <v>2013</v>
      </c>
      <c r="B2" cm="1">
        <f t="array" ref="B2:B8">'response-rate-stats'!B4:B10</f>
        <v>11062</v>
      </c>
      <c r="C2" s="6" cm="1">
        <f t="array" ref="C2:C8">'overall-grad-employment rate'!B4:B10</f>
        <v>90.663333333333355</v>
      </c>
      <c r="D2">
        <f>INT((C2/100)*B2)</f>
        <v>10029</v>
      </c>
    </row>
    <row r="3" spans="1:4" x14ac:dyDescent="0.55000000000000004">
      <c r="A3">
        <v>2014</v>
      </c>
      <c r="B3">
        <v>11151</v>
      </c>
      <c r="C3">
        <v>91.177647058823524</v>
      </c>
      <c r="D3">
        <f t="shared" ref="D3:D8" si="0">INT((C3/100)*B3)</f>
        <v>10167</v>
      </c>
    </row>
    <row r="4" spans="1:4" x14ac:dyDescent="0.55000000000000004">
      <c r="A4">
        <v>2015</v>
      </c>
      <c r="B4">
        <v>11358</v>
      </c>
      <c r="C4">
        <v>91.018681318681331</v>
      </c>
      <c r="D4">
        <f t="shared" si="0"/>
        <v>10337</v>
      </c>
    </row>
    <row r="5" spans="1:4" x14ac:dyDescent="0.55000000000000004">
      <c r="A5">
        <v>2016</v>
      </c>
      <c r="B5">
        <v>12150</v>
      </c>
      <c r="C5">
        <v>90.076404494382018</v>
      </c>
      <c r="D5">
        <f t="shared" si="0"/>
        <v>10944</v>
      </c>
    </row>
    <row r="6" spans="1:4" x14ac:dyDescent="0.55000000000000004">
      <c r="A6">
        <v>2017</v>
      </c>
      <c r="B6">
        <v>13896</v>
      </c>
      <c r="C6">
        <v>90.324770642201827</v>
      </c>
      <c r="D6">
        <f t="shared" si="0"/>
        <v>12551</v>
      </c>
    </row>
    <row r="7" spans="1:4" x14ac:dyDescent="0.55000000000000004">
      <c r="A7">
        <v>2018</v>
      </c>
      <c r="B7">
        <v>13783</v>
      </c>
      <c r="C7">
        <v>91.609375000000014</v>
      </c>
      <c r="D7">
        <f t="shared" si="0"/>
        <v>12626</v>
      </c>
    </row>
    <row r="8" spans="1:4" x14ac:dyDescent="0.55000000000000004">
      <c r="A8">
        <v>2019</v>
      </c>
      <c r="B8">
        <v>14167</v>
      </c>
      <c r="C8">
        <v>91.057999999999993</v>
      </c>
      <c r="D8">
        <f t="shared" si="0"/>
        <v>12900</v>
      </c>
    </row>
  </sheetData>
  <autoFilter ref="A1:D1" xr:uid="{2EFEA80E-1A6C-411C-A241-BA68B2482C8D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D0345-BDD1-4937-AAF5-15A6B7E8F96C}">
  <sheetPr codeName="Sheet4"/>
  <dimension ref="A3:B11"/>
  <sheetViews>
    <sheetView workbookViewId="0">
      <selection activeCell="B10" sqref="B10"/>
    </sheetView>
  </sheetViews>
  <sheetFormatPr defaultRowHeight="14.4" x14ac:dyDescent="0.55000000000000004"/>
  <cols>
    <col min="1" max="1" width="12.05078125" bestFit="1" customWidth="1"/>
    <col min="2" max="2" width="31.3671875" bestFit="1" customWidth="1"/>
    <col min="3" max="6" width="4.68359375" bestFit="1" customWidth="1"/>
    <col min="7" max="7" width="2.68359375" bestFit="1" customWidth="1"/>
    <col min="8" max="11" width="4.68359375" bestFit="1" customWidth="1"/>
    <col min="12" max="12" width="2.68359375" bestFit="1" customWidth="1"/>
    <col min="13" max="15" width="4.68359375" bestFit="1" customWidth="1"/>
    <col min="16" max="16" width="2.68359375" bestFit="1" customWidth="1"/>
    <col min="17" max="26" width="4.68359375" bestFit="1" customWidth="1"/>
    <col min="27" max="27" width="2.68359375" bestFit="1" customWidth="1"/>
    <col min="28" max="35" width="4.68359375" bestFit="1" customWidth="1"/>
    <col min="36" max="36" width="2.68359375" bestFit="1" customWidth="1"/>
    <col min="37" max="44" width="4.68359375" bestFit="1" customWidth="1"/>
    <col min="45" max="45" width="2.68359375" bestFit="1" customWidth="1"/>
    <col min="46" max="59" width="4.68359375" bestFit="1" customWidth="1"/>
    <col min="60" max="60" width="2.68359375" bestFit="1" customWidth="1"/>
    <col min="61" max="66" width="4.68359375" bestFit="1" customWidth="1"/>
    <col min="67" max="67" width="2.68359375" bestFit="1" customWidth="1"/>
    <col min="68" max="82" width="4.68359375" bestFit="1" customWidth="1"/>
    <col min="83" max="83" width="2.68359375" bestFit="1" customWidth="1"/>
    <col min="84" max="92" width="4.68359375" bestFit="1" customWidth="1"/>
    <col min="93" max="93" width="2.68359375" bestFit="1" customWidth="1"/>
    <col min="94" max="101" width="4.68359375" bestFit="1" customWidth="1"/>
    <col min="102" max="102" width="2.68359375" bestFit="1" customWidth="1"/>
    <col min="103" max="111" width="4.68359375" bestFit="1" customWidth="1"/>
    <col min="112" max="112" width="2.68359375" bestFit="1" customWidth="1"/>
    <col min="113" max="121" width="4.68359375" bestFit="1" customWidth="1"/>
    <col min="122" max="122" width="2.68359375" bestFit="1" customWidth="1"/>
    <col min="123" max="131" width="4.68359375" bestFit="1" customWidth="1"/>
    <col min="132" max="132" width="2.68359375" bestFit="1" customWidth="1"/>
    <col min="133" max="141" width="4.68359375" bestFit="1" customWidth="1"/>
    <col min="142" max="142" width="2.68359375" bestFit="1" customWidth="1"/>
    <col min="143" max="151" width="4.68359375" bestFit="1" customWidth="1"/>
    <col min="152" max="152" width="2.68359375" bestFit="1" customWidth="1"/>
    <col min="153" max="161" width="4.68359375" bestFit="1" customWidth="1"/>
    <col min="162" max="162" width="2.68359375" bestFit="1" customWidth="1"/>
    <col min="163" max="171" width="4.68359375" bestFit="1" customWidth="1"/>
    <col min="172" max="172" width="2.68359375" bestFit="1" customWidth="1"/>
    <col min="173" max="180" width="4.68359375" bestFit="1" customWidth="1"/>
    <col min="181" max="181" width="2.68359375" bestFit="1" customWidth="1"/>
    <col min="182" max="190" width="4.68359375" bestFit="1" customWidth="1"/>
    <col min="191" max="191" width="2.68359375" bestFit="1" customWidth="1"/>
    <col min="192" max="200" width="4.68359375" bestFit="1" customWidth="1"/>
    <col min="201" max="201" width="2.68359375" bestFit="1" customWidth="1"/>
    <col min="202" max="209" width="4.68359375" bestFit="1" customWidth="1"/>
    <col min="210" max="210" width="2.68359375" bestFit="1" customWidth="1"/>
    <col min="211" max="213" width="4.68359375" bestFit="1" customWidth="1"/>
    <col min="214" max="214" width="3.68359375" bestFit="1" customWidth="1"/>
    <col min="215" max="215" width="2.68359375" bestFit="1" customWidth="1"/>
    <col min="216" max="216" width="10.20703125" bestFit="1" customWidth="1"/>
  </cols>
  <sheetData>
    <row r="3" spans="1:2" x14ac:dyDescent="0.55000000000000004">
      <c r="A3" s="3" t="s">
        <v>431</v>
      </c>
      <c r="B3" t="s">
        <v>432</v>
      </c>
    </row>
    <row r="4" spans="1:2" x14ac:dyDescent="0.55000000000000004">
      <c r="A4" s="4">
        <v>2013</v>
      </c>
      <c r="B4" s="6">
        <v>90.663333333333355</v>
      </c>
    </row>
    <row r="5" spans="1:2" x14ac:dyDescent="0.55000000000000004">
      <c r="A5" s="4">
        <v>2014</v>
      </c>
      <c r="B5" s="6">
        <v>91.177647058823524</v>
      </c>
    </row>
    <row r="6" spans="1:2" x14ac:dyDescent="0.55000000000000004">
      <c r="A6" s="4">
        <v>2015</v>
      </c>
      <c r="B6" s="6">
        <v>91.018681318681331</v>
      </c>
    </row>
    <row r="7" spans="1:2" x14ac:dyDescent="0.55000000000000004">
      <c r="A7" s="4">
        <v>2016</v>
      </c>
      <c r="B7" s="6">
        <v>90.076404494382018</v>
      </c>
    </row>
    <row r="8" spans="1:2" x14ac:dyDescent="0.55000000000000004">
      <c r="A8" s="4">
        <v>2017</v>
      </c>
      <c r="B8" s="6">
        <v>90.324770642201827</v>
      </c>
    </row>
    <row r="9" spans="1:2" x14ac:dyDescent="0.55000000000000004">
      <c r="A9" s="4">
        <v>2018</v>
      </c>
      <c r="B9" s="6">
        <v>91.609375000000014</v>
      </c>
    </row>
    <row r="10" spans="1:2" x14ac:dyDescent="0.55000000000000004">
      <c r="A10" s="4">
        <v>2019</v>
      </c>
      <c r="B10" s="6">
        <v>91.057999999999993</v>
      </c>
    </row>
    <row r="11" spans="1:2" x14ac:dyDescent="0.55000000000000004">
      <c r="A11" s="4" t="s">
        <v>430</v>
      </c>
      <c r="B11" s="5">
        <v>90.849365079365128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926A6-91E6-49FC-A8E2-E2797A5D6CFF}">
  <sheetPr codeName="Sheet7"/>
  <dimension ref="A1:K10"/>
  <sheetViews>
    <sheetView workbookViewId="0">
      <selection activeCell="B5" sqref="B5"/>
    </sheetView>
  </sheetViews>
  <sheetFormatPr defaultRowHeight="14.4" x14ac:dyDescent="0.55000000000000004"/>
  <cols>
    <col min="1" max="1" width="31.3671875" bestFit="1" customWidth="1"/>
    <col min="2" max="2" width="17.89453125" bestFit="1" customWidth="1"/>
    <col min="3" max="3" width="7.734375" bestFit="1" customWidth="1"/>
    <col min="4" max="4" width="10.3125" bestFit="1" customWidth="1"/>
    <col min="5" max="5" width="13.3125" bestFit="1" customWidth="1"/>
    <col min="6" max="6" width="24.15625" bestFit="1" customWidth="1"/>
    <col min="7" max="7" width="7.47265625" bestFit="1" customWidth="1"/>
    <col min="8" max="8" width="15.47265625" bestFit="1" customWidth="1"/>
    <col min="9" max="9" width="29.15625" bestFit="1" customWidth="1"/>
    <col min="10" max="10" width="6.41796875" bestFit="1" customWidth="1"/>
    <col min="11" max="11" width="10.20703125" bestFit="1" customWidth="1"/>
  </cols>
  <sheetData>
    <row r="1" spans="1:11" x14ac:dyDescent="0.55000000000000004">
      <c r="A1" s="3" t="s">
        <v>432</v>
      </c>
      <c r="B1" s="3" t="s">
        <v>433</v>
      </c>
    </row>
    <row r="2" spans="1:11" x14ac:dyDescent="0.55000000000000004">
      <c r="A2" s="3" t="s">
        <v>431</v>
      </c>
      <c r="B2" t="s">
        <v>354</v>
      </c>
      <c r="C2" t="s">
        <v>219</v>
      </c>
      <c r="D2" t="s">
        <v>372</v>
      </c>
      <c r="E2" t="s">
        <v>384</v>
      </c>
      <c r="F2" t="s">
        <v>393</v>
      </c>
      <c r="G2" t="s">
        <v>390</v>
      </c>
      <c r="H2" t="s">
        <v>358</v>
      </c>
      <c r="I2" t="s">
        <v>409</v>
      </c>
      <c r="J2" t="s">
        <v>568</v>
      </c>
      <c r="K2" t="s">
        <v>430</v>
      </c>
    </row>
    <row r="3" spans="1:11" x14ac:dyDescent="0.55000000000000004">
      <c r="A3" s="4">
        <v>2013</v>
      </c>
      <c r="B3" s="6">
        <v>87.416666666666671</v>
      </c>
      <c r="C3" s="6">
        <v>93.766666666666666</v>
      </c>
      <c r="D3" s="6">
        <v>88.80714285714285</v>
      </c>
      <c r="E3" s="6">
        <v>97.433333333333337</v>
      </c>
      <c r="F3" s="6">
        <v>89.885714285714286</v>
      </c>
      <c r="G3" s="6">
        <v>84.039999999999992</v>
      </c>
      <c r="H3" s="6">
        <v>94.033333333333317</v>
      </c>
      <c r="I3" s="6">
        <v>90.100000000000009</v>
      </c>
      <c r="J3" s="6"/>
      <c r="K3" s="6">
        <v>90.663333333333341</v>
      </c>
    </row>
    <row r="4" spans="1:11" x14ac:dyDescent="0.55000000000000004">
      <c r="A4" s="4">
        <v>2014</v>
      </c>
      <c r="B4" s="6">
        <v>88.26</v>
      </c>
      <c r="C4" s="6">
        <v>93.428571428571431</v>
      </c>
      <c r="D4" s="6">
        <v>88.565384615384602</v>
      </c>
      <c r="E4" s="6">
        <v>99.566666666666663</v>
      </c>
      <c r="F4" s="6">
        <v>90.912500000000009</v>
      </c>
      <c r="G4" s="6">
        <v>82.9</v>
      </c>
      <c r="H4" s="6">
        <v>95.974999999999994</v>
      </c>
      <c r="I4" s="6">
        <v>92.777777777777771</v>
      </c>
      <c r="J4" s="6"/>
      <c r="K4" s="6">
        <v>91.177647058823538</v>
      </c>
    </row>
    <row r="5" spans="1:11" x14ac:dyDescent="0.55000000000000004">
      <c r="A5" s="4">
        <v>2015</v>
      </c>
      <c r="B5" s="6">
        <v>84.22999999999999</v>
      </c>
      <c r="C5" s="6">
        <v>95.585714285714289</v>
      </c>
      <c r="D5" s="6">
        <v>89.210344827586198</v>
      </c>
      <c r="E5" s="6">
        <v>99.46</v>
      </c>
      <c r="F5" s="6">
        <v>91.4</v>
      </c>
      <c r="G5" s="6">
        <v>80.63333333333334</v>
      </c>
      <c r="H5" s="6">
        <v>95.574999999999989</v>
      </c>
      <c r="I5" s="6">
        <v>92.32</v>
      </c>
      <c r="J5" s="6"/>
      <c r="K5" s="6">
        <v>91.018681318681331</v>
      </c>
    </row>
    <row r="6" spans="1:11" x14ac:dyDescent="0.55000000000000004">
      <c r="A6" s="4">
        <v>2016</v>
      </c>
      <c r="B6" s="6">
        <v>88.23</v>
      </c>
      <c r="C6" s="6">
        <v>94.576923076923094</v>
      </c>
      <c r="D6" s="6">
        <v>86.664285714285711</v>
      </c>
      <c r="E6" s="6">
        <v>96.210000000000008</v>
      </c>
      <c r="F6" s="6">
        <v>91.73333333333332</v>
      </c>
      <c r="G6" s="6">
        <v>82.516666666666666</v>
      </c>
      <c r="H6" s="6">
        <v>92.724999999999994</v>
      </c>
      <c r="I6" s="6">
        <v>91.63333333333334</v>
      </c>
      <c r="J6" s="6"/>
      <c r="K6" s="6">
        <v>90.076404494382047</v>
      </c>
    </row>
    <row r="7" spans="1:11" x14ac:dyDescent="0.55000000000000004">
      <c r="A7" s="4">
        <v>2017</v>
      </c>
      <c r="B7" s="6">
        <v>90.241666666666674</v>
      </c>
      <c r="C7" s="6">
        <v>95.426666666666677</v>
      </c>
      <c r="D7" s="6">
        <v>87.56129032258066</v>
      </c>
      <c r="E7" s="6">
        <v>98.3125</v>
      </c>
      <c r="F7" s="6">
        <v>86.339999999999989</v>
      </c>
      <c r="G7" s="6">
        <v>83.454545454545453</v>
      </c>
      <c r="H7" s="6">
        <v>93.98</v>
      </c>
      <c r="I7" s="6">
        <v>95.927272727272737</v>
      </c>
      <c r="J7" s="6">
        <v>92</v>
      </c>
      <c r="K7" s="6">
        <v>90.324770642201813</v>
      </c>
    </row>
    <row r="8" spans="1:11" x14ac:dyDescent="0.55000000000000004">
      <c r="A8" s="4">
        <v>2018</v>
      </c>
      <c r="B8" s="6">
        <v>88.791666666666671</v>
      </c>
      <c r="C8" s="6">
        <v>94.933333333333337</v>
      </c>
      <c r="D8" s="6">
        <v>90.342857142857142</v>
      </c>
      <c r="E8" s="6">
        <v>96.422222222222217</v>
      </c>
      <c r="F8" s="6">
        <v>91.111111111111114</v>
      </c>
      <c r="G8" s="6">
        <v>82.357142857142875</v>
      </c>
      <c r="H8" s="6">
        <v>90.833333333333329</v>
      </c>
      <c r="I8" s="6">
        <v>95.38</v>
      </c>
      <c r="J8" s="6"/>
      <c r="K8" s="6">
        <v>91.609375</v>
      </c>
    </row>
    <row r="9" spans="1:11" x14ac:dyDescent="0.55000000000000004">
      <c r="A9" s="4">
        <v>2019</v>
      </c>
      <c r="B9" s="6">
        <v>87.233333333333348</v>
      </c>
      <c r="C9" s="6">
        <v>92.764705882352928</v>
      </c>
      <c r="D9" s="6">
        <v>88.779999999999987</v>
      </c>
      <c r="E9" s="6">
        <v>98.36666666666666</v>
      </c>
      <c r="F9" s="6">
        <v>87.585714285714275</v>
      </c>
      <c r="G9" s="6">
        <v>86.514285714285705</v>
      </c>
      <c r="H9" s="6">
        <v>95.183333333333337</v>
      </c>
      <c r="I9" s="6">
        <v>95.291666666666643</v>
      </c>
      <c r="J9" s="6"/>
      <c r="K9" s="6">
        <v>91.057999999999979</v>
      </c>
    </row>
    <row r="10" spans="1:11" x14ac:dyDescent="0.55000000000000004">
      <c r="A10" s="4" t="s">
        <v>430</v>
      </c>
      <c r="B10" s="6">
        <v>87.873611111111089</v>
      </c>
      <c r="C10" s="6">
        <v>94.350485436893209</v>
      </c>
      <c r="D10" s="6">
        <v>88.532795698924701</v>
      </c>
      <c r="E10" s="6">
        <v>97.983606557377058</v>
      </c>
      <c r="F10" s="6">
        <v>89.547619047619051</v>
      </c>
      <c r="G10" s="6">
        <v>83.270212765957439</v>
      </c>
      <c r="H10" s="6">
        <v>94.231034482758616</v>
      </c>
      <c r="I10" s="6">
        <v>93.6191176470588</v>
      </c>
      <c r="J10" s="6">
        <v>92</v>
      </c>
      <c r="K10" s="6">
        <v>90.849365079365072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raw</vt:lpstr>
      <vt:lpstr>course-cluster</vt:lpstr>
      <vt:lpstr>processed</vt:lpstr>
      <vt:lpstr>response-rate</vt:lpstr>
      <vt:lpstr>response-rate-stats</vt:lpstr>
      <vt:lpstr>overall-grad-employment</vt:lpstr>
      <vt:lpstr>overall-grad-employment rate</vt:lpstr>
      <vt:lpstr>grad-employment rate by cluster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</dc:creator>
  <cp:lastModifiedBy>Sam</cp:lastModifiedBy>
  <dcterms:created xsi:type="dcterms:W3CDTF">2021-04-08T16:46:54Z</dcterms:created>
  <dcterms:modified xsi:type="dcterms:W3CDTF">2021-05-05T13:53:57Z</dcterms:modified>
</cp:coreProperties>
</file>